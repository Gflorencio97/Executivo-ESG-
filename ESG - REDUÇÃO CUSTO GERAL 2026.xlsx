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drawings/drawing11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2.xml" ContentType="application/vnd.openxmlformats-officedocument.drawingml.chartshapes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ml.chartshapes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4.xml" ContentType="application/vnd.openxmlformats-officedocument.drawing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5.xml" ContentType="application/vnd.openxmlformats-officedocument.drawingml.chartshapes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6.xml" ContentType="application/vnd.openxmlformats-officedocument.drawingml.chartshapes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7.xml" ContentType="application/vnd.openxmlformats-officedocument.drawingml.chartshapes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8.xml" ContentType="application/vnd.openxmlformats-officedocument.drawing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9.xml" ContentType="application/vnd.openxmlformats-officedocument.drawingml.chartshapes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0.xml" ContentType="application/vnd.openxmlformats-officedocument.drawingml.chartshapes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1.xml" ContentType="application/vnd.openxmlformats-officedocument.drawingml.chartshapes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2.xml" ContentType="application/vnd.openxmlformats-officedocument.drawingml.chartshapes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23.xml" ContentType="application/vnd.openxmlformats-officedocument.drawingml.chartshapes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26.xml" ContentType="application/vnd.openxmlformats-officedocument.drawing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27.xml" ContentType="application/vnd.openxmlformats-officedocument.drawingml.chartshapes+xml"/>
  <Override PartName="/xl/charts/chart3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28.xml" ContentType="application/vnd.openxmlformats-officedocument.drawing+xml"/>
  <Override PartName="/xl/charts/chart39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9.xml" ContentType="application/vnd.openxmlformats-officedocument.drawingml.chartshapes+xml"/>
  <Override PartName="/xl/drawings/drawing30.xml" ContentType="application/vnd.openxmlformats-officedocument.drawing+xml"/>
  <Override PartName="/xl/charts/chart41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2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3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oluttionautomotive.sharepoint.com/sites/Fileserver/Documentos Compartilhados/INDICADORES/2026/ESG/"/>
    </mc:Choice>
  </mc:AlternateContent>
  <xr:revisionPtr revIDLastSave="5587" documentId="8_{7869ADFF-B6DC-48C9-9FAD-BDEFCB492BA3}" xr6:coauthVersionLast="47" xr6:coauthVersionMax="47" xr10:uidLastSave="{4E858EB8-9F25-40A4-B52B-1E53185C70C0}"/>
  <bookViews>
    <workbookView xWindow="-120" yWindow="-120" windowWidth="20730" windowHeight="11040" xr2:uid="{51BC5CC8-FF25-43A6-803B-2C0E48B61855}"/>
  </bookViews>
  <sheets>
    <sheet name="KPI" sheetId="11" r:id="rId1"/>
    <sheet name="ESG - Energia Eletrica" sheetId="16" r:id="rId2"/>
    <sheet name="ESG - Agua" sheetId="15" r:id="rId3"/>
    <sheet name="ESG - Resíduos" sheetId="14" r:id="rId4"/>
    <sheet name="ESG - S RH1" sheetId="17" r:id="rId5"/>
    <sheet name="GESTÃO" sheetId="6" r:id="rId6"/>
    <sheet name="Plano de Ação" sheetId="8" r:id="rId7"/>
    <sheet name="COMPRAS" sheetId="1" r:id="rId8"/>
    <sheet name="ALMOXARIFADO" sheetId="7" r:id="rId9"/>
    <sheet name="QUALIDADE" sheetId="2" r:id="rId10"/>
    <sheet name="MANUTENÇÃO" sheetId="3" r:id="rId11"/>
    <sheet name="PROCESSOS" sheetId="4" r:id="rId12"/>
    <sheet name="COMERCIAL" sheetId="9" r:id="rId13"/>
    <sheet name="ENGENHARIA" sheetId="5" r:id="rId14"/>
  </sheets>
  <externalReferences>
    <externalReference r:id="rId15"/>
    <externalReference r:id="rId16"/>
    <externalReference r:id="rId17"/>
    <externalReference r:id="rId1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1" l="1"/>
  <c r="AA168" i="7"/>
  <c r="AA167" i="7"/>
  <c r="AA166" i="7"/>
  <c r="I167" i="7"/>
  <c r="I166" i="7"/>
  <c r="AA142" i="7"/>
  <c r="AB142" i="7"/>
  <c r="J141" i="7"/>
  <c r="J140" i="7"/>
  <c r="Y118" i="7"/>
  <c r="Z118" i="7"/>
  <c r="J118" i="7"/>
  <c r="H118" i="7"/>
  <c r="I118" i="7"/>
  <c r="P146" i="11"/>
  <c r="O146" i="11"/>
  <c r="I146" i="11"/>
  <c r="D146" i="11"/>
  <c r="E146" i="11"/>
  <c r="F146" i="11"/>
  <c r="G146" i="11"/>
  <c r="H146" i="11"/>
  <c r="C146" i="11"/>
  <c r="D110" i="11" l="1"/>
  <c r="E110" i="11"/>
  <c r="F110" i="11"/>
  <c r="G110" i="11"/>
  <c r="H110" i="11"/>
  <c r="I110" i="11"/>
  <c r="I50" i="11"/>
  <c r="H50" i="11"/>
  <c r="AB96" i="2"/>
  <c r="I60" i="2"/>
  <c r="J60" i="2"/>
  <c r="I122" i="11"/>
  <c r="H82" i="4"/>
  <c r="I82" i="4" s="1"/>
  <c r="I90" i="11" s="1"/>
  <c r="H90" i="11"/>
  <c r="AA61" i="2"/>
  <c r="AA60" i="2"/>
  <c r="H58" i="11" l="1"/>
  <c r="I58" i="11"/>
  <c r="E27" i="6" l="1"/>
  <c r="F27" i="6"/>
  <c r="G27" i="6"/>
  <c r="H27" i="6"/>
  <c r="I27" i="6"/>
  <c r="J27" i="6"/>
  <c r="K27" i="6"/>
  <c r="L27" i="6"/>
  <c r="M27" i="6"/>
  <c r="N27" i="6"/>
  <c r="O27" i="6"/>
  <c r="I71" i="14"/>
  <c r="J71" i="14"/>
  <c r="I70" i="14"/>
  <c r="J70" i="14"/>
  <c r="I69" i="14"/>
  <c r="J69" i="14"/>
  <c r="J31" i="15"/>
  <c r="I141" i="7" l="1"/>
  <c r="I140" i="7"/>
  <c r="J122" i="11"/>
  <c r="O86" i="11"/>
  <c r="G70" i="11"/>
  <c r="H70" i="11"/>
  <c r="I70" i="11"/>
  <c r="G66" i="11"/>
  <c r="H66" i="11"/>
  <c r="I66" i="11"/>
  <c r="D22" i="11"/>
  <c r="E22" i="11"/>
  <c r="F22" i="11"/>
  <c r="G22" i="11"/>
  <c r="H22" i="11"/>
  <c r="I22" i="11"/>
  <c r="I181" i="11" s="1"/>
  <c r="H86" i="11"/>
  <c r="I86" i="11"/>
  <c r="H82" i="11"/>
  <c r="I82" i="11"/>
  <c r="H78" i="11"/>
  <c r="I78" i="11"/>
  <c r="H74" i="11"/>
  <c r="I74" i="11"/>
  <c r="Y54" i="17"/>
  <c r="Z54" i="17"/>
  <c r="Z22" i="17"/>
  <c r="Y23" i="17"/>
  <c r="Y22" i="17"/>
  <c r="H181" i="11" l="1"/>
  <c r="H53" i="17"/>
  <c r="I24" i="17"/>
  <c r="H24" i="17"/>
  <c r="H170" i="11" l="1"/>
  <c r="O170" i="11" s="1"/>
  <c r="I170" i="11"/>
  <c r="H169" i="11"/>
  <c r="I169" i="11"/>
  <c r="H168" i="11"/>
  <c r="I168" i="11"/>
  <c r="F161" i="11"/>
  <c r="G161" i="11"/>
  <c r="H161" i="11"/>
  <c r="I161" i="11"/>
  <c r="F160" i="11"/>
  <c r="G160" i="11"/>
  <c r="H160" i="11"/>
  <c r="I160" i="11"/>
  <c r="F159" i="11"/>
  <c r="G159" i="11"/>
  <c r="H159" i="11"/>
  <c r="I159" i="11"/>
  <c r="F158" i="11"/>
  <c r="G158" i="11"/>
  <c r="H158" i="11"/>
  <c r="I158" i="11"/>
  <c r="H150" i="11"/>
  <c r="I150" i="11"/>
  <c r="H106" i="11"/>
  <c r="I106" i="11"/>
  <c r="I121" i="2" l="1"/>
  <c r="J121" i="2"/>
  <c r="AA96" i="2"/>
  <c r="I96" i="2"/>
  <c r="I95" i="2"/>
  <c r="I26" i="6" l="1"/>
  <c r="J26" i="6"/>
  <c r="K26" i="6"/>
  <c r="L26" i="6"/>
  <c r="M26" i="6" s="1"/>
  <c r="N26" i="6" s="1"/>
  <c r="O26" i="6" s="1"/>
  <c r="J25" i="6"/>
  <c r="K25" i="6"/>
  <c r="L25" i="6"/>
  <c r="M25" i="6"/>
  <c r="N25" i="6"/>
  <c r="O25" i="6"/>
  <c r="I25" i="6"/>
  <c r="J30" i="11"/>
  <c r="K30" i="11"/>
  <c r="L30" i="11"/>
  <c r="M30" i="11"/>
  <c r="N30" i="11"/>
  <c r="E30" i="11"/>
  <c r="F30" i="11"/>
  <c r="G30" i="11"/>
  <c r="H30" i="11"/>
  <c r="I30" i="11"/>
  <c r="Y13" i="1"/>
  <c r="G26" i="1"/>
  <c r="H26" i="1" s="1"/>
  <c r="I26" i="1" s="1"/>
  <c r="J26" i="1" s="1"/>
  <c r="K26" i="1" s="1"/>
  <c r="L26" i="1" s="1"/>
  <c r="M26" i="1" s="1"/>
  <c r="N26" i="1" s="1"/>
  <c r="J91" i="6" l="1"/>
  <c r="I6" i="11" s="1"/>
  <c r="H6" i="11"/>
  <c r="H10" i="11"/>
  <c r="I10" i="11"/>
  <c r="H14" i="11"/>
  <c r="G26" i="11"/>
  <c r="H26" i="11"/>
  <c r="I26" i="11"/>
  <c r="H46" i="11" l="1"/>
  <c r="H122" i="11" s="1"/>
  <c r="H98" i="11"/>
  <c r="O90" i="1"/>
  <c r="H90" i="1"/>
  <c r="I90" i="1"/>
  <c r="Q31" i="16" l="1"/>
  <c r="J31" i="16"/>
  <c r="J31" i="14"/>
  <c r="I31" i="14"/>
  <c r="H31" i="14"/>
  <c r="H78" i="17"/>
  <c r="Z143" i="7" l="1"/>
  <c r="AA143" i="7"/>
  <c r="AA141" i="7"/>
  <c r="Z141" i="7"/>
  <c r="AA140" i="7"/>
  <c r="Z140" i="7"/>
  <c r="AR132" i="7"/>
  <c r="AQ132" i="7"/>
  <c r="C31" i="16"/>
  <c r="C31" i="15"/>
  <c r="C70" i="14"/>
  <c r="E71" i="14" l="1"/>
  <c r="F71" i="14"/>
  <c r="G71" i="14"/>
  <c r="H71" i="14"/>
  <c r="D71" i="14"/>
  <c r="C71" i="14"/>
  <c r="R32" i="15"/>
  <c r="R31" i="15" s="1"/>
  <c r="R29" i="15"/>
  <c r="R32" i="16"/>
  <c r="R31" i="16" s="1"/>
  <c r="R29" i="16"/>
  <c r="J29" i="16"/>
  <c r="I29" i="16"/>
  <c r="I31" i="16" s="1"/>
  <c r="P31" i="16" s="1"/>
  <c r="P32" i="16"/>
  <c r="Q32" i="16" s="1"/>
  <c r="AA23" i="3"/>
  <c r="AA25" i="3"/>
  <c r="Z168" i="7"/>
  <c r="Z167" i="7"/>
  <c r="Z166" i="7"/>
  <c r="H167" i="7"/>
  <c r="H141" i="7"/>
  <c r="H140" i="7"/>
  <c r="W118" i="7"/>
  <c r="X118" i="7"/>
  <c r="H105" i="7"/>
  <c r="AR23" i="3" l="1"/>
  <c r="AR24" i="3"/>
  <c r="P72" i="14" l="1"/>
  <c r="I107" i="14"/>
  <c r="I106" i="14"/>
  <c r="P32" i="15"/>
  <c r="P29" i="15"/>
  <c r="P30" i="15"/>
  <c r="I31" i="15"/>
  <c r="Q72" i="14" l="1"/>
  <c r="P71" i="14"/>
  <c r="Q92" i="6"/>
  <c r="P92" i="6"/>
  <c r="Q75" i="14"/>
  <c r="C31" i="14" l="1"/>
  <c r="Q30" i="14" l="1"/>
  <c r="D107" i="14"/>
  <c r="D106" i="14"/>
  <c r="P29" i="14"/>
  <c r="G32" i="14"/>
  <c r="G31" i="14" s="1"/>
  <c r="D31" i="14"/>
  <c r="E31" i="14" s="1"/>
  <c r="F31" i="14" s="1"/>
  <c r="P32" i="14" l="1"/>
  <c r="P31" i="14" s="1"/>
  <c r="Q31" i="14" s="1"/>
  <c r="AQ60" i="2" l="1"/>
  <c r="AR60" i="2"/>
  <c r="AR59" i="2"/>
  <c r="AQ59" i="2"/>
  <c r="AQ58" i="2"/>
  <c r="AR58" i="2"/>
  <c r="G78" i="17"/>
  <c r="P81" i="17"/>
  <c r="P82" i="17"/>
  <c r="P83" i="17"/>
  <c r="P84" i="17"/>
  <c r="P85" i="17"/>
  <c r="P86" i="17"/>
  <c r="P87" i="17"/>
  <c r="P88" i="17"/>
  <c r="P89" i="17"/>
  <c r="P90" i="17"/>
  <c r="P91" i="17"/>
  <c r="AQ23" i="3" l="1"/>
  <c r="G90" i="1" l="1"/>
  <c r="G25" i="6"/>
  <c r="G82" i="4" l="1"/>
  <c r="AQ24" i="3"/>
  <c r="Q31" i="15"/>
  <c r="H32" i="16"/>
  <c r="E32" i="16"/>
  <c r="F32" i="16"/>
  <c r="G32" i="16"/>
  <c r="D32" i="16"/>
  <c r="G169" i="11"/>
  <c r="G150" i="11"/>
  <c r="G106" i="11" l="1"/>
  <c r="F102" i="11"/>
  <c r="G90" i="11"/>
  <c r="G58" i="11"/>
  <c r="G50" i="11"/>
  <c r="G181" i="11"/>
  <c r="G18" i="11"/>
  <c r="F10" i="11"/>
  <c r="G10" i="11"/>
  <c r="G6" i="11"/>
  <c r="F25" i="6" l="1"/>
  <c r="E25" i="6"/>
  <c r="D25" i="6"/>
  <c r="E25" i="4"/>
  <c r="F25" i="4" s="1"/>
  <c r="D25" i="4"/>
  <c r="C25" i="4"/>
  <c r="G52" i="17" l="1"/>
  <c r="X54" i="17"/>
  <c r="X23" i="17"/>
  <c r="X22" i="17"/>
  <c r="G168" i="11" l="1"/>
  <c r="G82" i="11"/>
  <c r="G24" i="17" l="1"/>
  <c r="G74" i="11" s="1"/>
  <c r="H96" i="2" l="1"/>
  <c r="G14" i="11" s="1"/>
  <c r="G46" i="11" s="1"/>
  <c r="H95" i="2"/>
  <c r="Q60" i="2" l="1"/>
  <c r="Z95" i="2"/>
  <c r="Z96" i="2" s="1"/>
  <c r="Z61" i="2"/>
  <c r="H60" i="2"/>
  <c r="AM132" i="7"/>
  <c r="AN132" i="7"/>
  <c r="AO132" i="7"/>
  <c r="AP132" i="7"/>
  <c r="AL132" i="7"/>
  <c r="G141" i="7"/>
  <c r="Y143" i="7"/>
  <c r="Y142" i="7"/>
  <c r="Y141" i="7"/>
  <c r="Y140" i="7"/>
  <c r="E31" i="15" l="1"/>
  <c r="F31" i="15"/>
  <c r="H31" i="15"/>
  <c r="D31" i="15"/>
  <c r="H31" i="16"/>
  <c r="E31" i="16"/>
  <c r="F31" i="16"/>
  <c r="G31" i="16"/>
  <c r="D31" i="16"/>
  <c r="H25" i="6" l="1"/>
  <c r="E26" i="3" l="1"/>
  <c r="F26" i="3" s="1"/>
  <c r="G26" i="3" s="1"/>
  <c r="H26" i="3" s="1"/>
  <c r="I26" i="3" s="1"/>
  <c r="J26" i="3" s="1"/>
  <c r="K26" i="3" s="1"/>
  <c r="L26" i="3" s="1"/>
  <c r="M26" i="3" s="1"/>
  <c r="N26" i="3" s="1"/>
  <c r="F118" i="7"/>
  <c r="G118" i="7"/>
  <c r="AN125" i="7"/>
  <c r="V168" i="7"/>
  <c r="W168" i="7"/>
  <c r="X168" i="7"/>
  <c r="Y168" i="7"/>
  <c r="U168" i="7"/>
  <c r="V167" i="7"/>
  <c r="W167" i="7"/>
  <c r="X167" i="7"/>
  <c r="Y167" i="7"/>
  <c r="U167" i="7"/>
  <c r="Y166" i="7"/>
  <c r="D167" i="7"/>
  <c r="E167" i="7"/>
  <c r="F167" i="7"/>
  <c r="G167" i="7"/>
  <c r="C167" i="7"/>
  <c r="G166" i="7"/>
  <c r="G140" i="7"/>
  <c r="D168" i="11"/>
  <c r="E168" i="11"/>
  <c r="V54" i="17"/>
  <c r="U54" i="17"/>
  <c r="D82" i="11" s="1"/>
  <c r="D169" i="11"/>
  <c r="E169" i="11"/>
  <c r="F169" i="11"/>
  <c r="C169" i="11"/>
  <c r="O169" i="11" s="1"/>
  <c r="E82" i="11" l="1"/>
  <c r="P80" i="17"/>
  <c r="F78" i="17"/>
  <c r="E78" i="17"/>
  <c r="D78" i="17"/>
  <c r="O78" i="17" s="1"/>
  <c r="C78" i="17"/>
  <c r="P77" i="17"/>
  <c r="O77" i="17"/>
  <c r="W53" i="17"/>
  <c r="W54" i="17" s="1"/>
  <c r="T53" i="17"/>
  <c r="C53" i="17"/>
  <c r="AF52" i="17"/>
  <c r="O52" i="17"/>
  <c r="O54" i="17" s="1"/>
  <c r="AF51" i="17"/>
  <c r="AE24" i="17"/>
  <c r="AD24" i="17"/>
  <c r="AC24" i="17"/>
  <c r="AB24" i="17"/>
  <c r="AA24" i="17"/>
  <c r="Z24" i="17"/>
  <c r="I167" i="11" s="1"/>
  <c r="Y24" i="17"/>
  <c r="H167" i="11" s="1"/>
  <c r="X24" i="17"/>
  <c r="F24" i="17"/>
  <c r="F74" i="11" s="1"/>
  <c r="E24" i="17"/>
  <c r="E74" i="11" s="1"/>
  <c r="D24" i="17"/>
  <c r="D74" i="11" s="1"/>
  <c r="C24" i="17"/>
  <c r="C74" i="11" s="1"/>
  <c r="W23" i="17"/>
  <c r="W24" i="17" s="1"/>
  <c r="V23" i="17"/>
  <c r="V24" i="17" s="1"/>
  <c r="U23" i="17"/>
  <c r="U24" i="17" s="1"/>
  <c r="T23" i="17"/>
  <c r="W22" i="17"/>
  <c r="V22" i="17"/>
  <c r="U22" i="17"/>
  <c r="T22" i="17"/>
  <c r="G32" i="15"/>
  <c r="G31" i="15" s="1"/>
  <c r="G60" i="2"/>
  <c r="Y96" i="2"/>
  <c r="E78" i="11" l="1"/>
  <c r="E167" i="11"/>
  <c r="F82" i="11"/>
  <c r="F168" i="11"/>
  <c r="D78" i="11"/>
  <c r="D167" i="11"/>
  <c r="F78" i="11"/>
  <c r="F167" i="11"/>
  <c r="D53" i="17"/>
  <c r="C170" i="11"/>
  <c r="C86" i="11"/>
  <c r="T54" i="17"/>
  <c r="P78" i="17"/>
  <c r="T24" i="17"/>
  <c r="G167" i="11"/>
  <c r="G78" i="11"/>
  <c r="AF53" i="17"/>
  <c r="G121" i="2"/>
  <c r="P76" i="14"/>
  <c r="P77" i="14"/>
  <c r="P78" i="14"/>
  <c r="P75" i="14"/>
  <c r="P68" i="14"/>
  <c r="Q68" i="14" s="1"/>
  <c r="I79" i="14"/>
  <c r="J79" i="14"/>
  <c r="K79" i="14"/>
  <c r="L79" i="14"/>
  <c r="M79" i="14"/>
  <c r="N79" i="14"/>
  <c r="O79" i="14"/>
  <c r="H79" i="14"/>
  <c r="H69" i="14" s="1"/>
  <c r="H70" i="14" s="1"/>
  <c r="G79" i="14"/>
  <c r="G69" i="14" s="1"/>
  <c r="G70" i="14" s="1"/>
  <c r="F79" i="14"/>
  <c r="F69" i="14" s="1"/>
  <c r="F70" i="14" s="1"/>
  <c r="E79" i="14"/>
  <c r="E69" i="14" s="1"/>
  <c r="E70" i="14" s="1"/>
  <c r="D79" i="14"/>
  <c r="P79" i="14" l="1"/>
  <c r="D69" i="14"/>
  <c r="D70" i="14" s="1"/>
  <c r="P70" i="14" s="1"/>
  <c r="C167" i="11"/>
  <c r="C78" i="11"/>
  <c r="C168" i="11"/>
  <c r="C82" i="11"/>
  <c r="E53" i="17"/>
  <c r="D170" i="11"/>
  <c r="D86" i="11"/>
  <c r="AF54" i="17"/>
  <c r="AF24" i="17"/>
  <c r="F150" i="11"/>
  <c r="F106" i="11"/>
  <c r="F6" i="11"/>
  <c r="F70" i="11"/>
  <c r="F50" i="11"/>
  <c r="F181" i="11"/>
  <c r="F18" i="11"/>
  <c r="F14" i="11"/>
  <c r="F46" i="11" s="1"/>
  <c r="F53" i="17" l="1"/>
  <c r="E170" i="11"/>
  <c r="E86" i="11"/>
  <c r="AP23" i="3"/>
  <c r="AP24" i="3"/>
  <c r="X25" i="3"/>
  <c r="X23" i="3" s="1"/>
  <c r="F66" i="11" s="1"/>
  <c r="G96" i="2"/>
  <c r="G95" i="2"/>
  <c r="G53" i="17" l="1"/>
  <c r="F86" i="11"/>
  <c r="F170" i="11"/>
  <c r="Y61" i="2"/>
  <c r="F58" i="11" s="1"/>
  <c r="G170" i="11" l="1"/>
  <c r="G86" i="11"/>
  <c r="F90" i="1"/>
  <c r="F26" i="11" s="1"/>
  <c r="X143" i="7" l="1"/>
  <c r="X166" i="7"/>
  <c r="F166" i="7"/>
  <c r="F141" i="7"/>
  <c r="F140" i="7"/>
  <c r="V118" i="7"/>
  <c r="P91" i="6" l="1"/>
  <c r="Q91" i="6" s="1"/>
  <c r="H139" i="4"/>
  <c r="E131" i="4"/>
  <c r="B131" i="4"/>
  <c r="K134" i="4" l="1"/>
  <c r="D90" i="11" l="1"/>
  <c r="E90" i="11"/>
  <c r="F90" i="11"/>
  <c r="C90" i="11"/>
  <c r="O90" i="11" s="1"/>
  <c r="O82" i="4" l="1"/>
  <c r="P82" i="4" s="1"/>
  <c r="C46" i="11"/>
  <c r="D150" i="11"/>
  <c r="E150" i="11"/>
  <c r="C150" i="11"/>
  <c r="D126" i="11"/>
  <c r="E126" i="11"/>
  <c r="C126" i="11"/>
  <c r="C110" i="11"/>
  <c r="O110" i="11" s="1"/>
  <c r="D106" i="11"/>
  <c r="E106" i="11"/>
  <c r="D102" i="11"/>
  <c r="E102" i="11"/>
  <c r="C102" i="11"/>
  <c r="O102" i="11" s="1"/>
  <c r="O82" i="11"/>
  <c r="D70" i="11"/>
  <c r="E70" i="11"/>
  <c r="C70" i="11"/>
  <c r="D66" i="11"/>
  <c r="E66" i="11"/>
  <c r="C66" i="11"/>
  <c r="D62" i="11"/>
  <c r="E62" i="11"/>
  <c r="C62" i="11"/>
  <c r="D58" i="11"/>
  <c r="E58" i="11"/>
  <c r="C58" i="11"/>
  <c r="D46" i="11"/>
  <c r="E46" i="11"/>
  <c r="D30" i="11"/>
  <c r="C30" i="11"/>
  <c r="D181" i="11"/>
  <c r="E181" i="11"/>
  <c r="C22" i="11"/>
  <c r="O22" i="11" s="1"/>
  <c r="D18" i="11"/>
  <c r="E18" i="11"/>
  <c r="C18" i="11"/>
  <c r="D96" i="2"/>
  <c r="F96" i="2"/>
  <c r="E14" i="11" s="1"/>
  <c r="E96" i="2"/>
  <c r="D14" i="11" s="1"/>
  <c r="C14" i="11"/>
  <c r="D10" i="11"/>
  <c r="E10" i="11"/>
  <c r="C10" i="11"/>
  <c r="D6" i="11"/>
  <c r="E6" i="11"/>
  <c r="C6" i="11"/>
  <c r="O150" i="11" l="1"/>
  <c r="C181" i="11"/>
  <c r="O181" i="11" s="1"/>
  <c r="E159" i="11" l="1"/>
  <c r="C159" i="11"/>
  <c r="D159" i="11"/>
  <c r="P31" i="15"/>
  <c r="E158" i="11"/>
  <c r="D158" i="11"/>
  <c r="C158" i="11"/>
  <c r="P29" i="16"/>
  <c r="Q29" i="16" s="1"/>
  <c r="E160" i="11"/>
  <c r="D160" i="11"/>
  <c r="C161" i="11"/>
  <c r="Q71" i="14" l="1"/>
  <c r="O159" i="11"/>
  <c r="C160" i="11"/>
  <c r="E161" i="11"/>
  <c r="D161" i="11"/>
  <c r="O160" i="11"/>
  <c r="O158" i="11"/>
  <c r="G122" i="11"/>
  <c r="F122" i="11"/>
  <c r="E122" i="11"/>
  <c r="D122" i="11"/>
  <c r="G98" i="11"/>
  <c r="F98" i="11"/>
  <c r="E98" i="11"/>
  <c r="D98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O94" i="11" s="1"/>
  <c r="O78" i="11"/>
  <c r="O74" i="11"/>
  <c r="O70" i="11"/>
  <c r="O66" i="11"/>
  <c r="O62" i="11"/>
  <c r="O58" i="11"/>
  <c r="C54" i="11"/>
  <c r="O54" i="11" s="1"/>
  <c r="O42" i="11"/>
  <c r="O38" i="11"/>
  <c r="O34" i="11"/>
  <c r="O30" i="11"/>
  <c r="O18" i="11"/>
  <c r="O14" i="11"/>
  <c r="O10" i="11"/>
  <c r="C8" i="11"/>
  <c r="O6" i="11"/>
  <c r="O161" i="11" l="1"/>
  <c r="C98" i="11"/>
  <c r="O98" i="11" s="1"/>
  <c r="O46" i="11"/>
  <c r="E90" i="1" l="1"/>
  <c r="E26" i="11" s="1"/>
  <c r="E26" i="1" l="1"/>
  <c r="F26" i="1" s="1"/>
  <c r="E118" i="7" l="1"/>
  <c r="AO23" i="3"/>
  <c r="AO24" i="3"/>
  <c r="W23" i="3"/>
  <c r="F95" i="2" l="1"/>
  <c r="W143" i="7" l="1"/>
  <c r="W142" i="7"/>
  <c r="W166" i="7"/>
  <c r="E166" i="7"/>
  <c r="E141" i="7"/>
  <c r="E140" i="7"/>
  <c r="U118" i="7"/>
  <c r="U114" i="7"/>
  <c r="E114" i="7"/>
  <c r="AP59" i="2" l="1"/>
  <c r="V29" i="9"/>
  <c r="E29" i="9"/>
  <c r="F121" i="2"/>
  <c r="W96" i="2"/>
  <c r="D50" i="11" s="1"/>
  <c r="X96" i="2"/>
  <c r="E50" i="11" s="1"/>
  <c r="X61" i="2" l="1"/>
  <c r="F60" i="2"/>
  <c r="AP58" i="2" s="1"/>
  <c r="AP60" i="2" s="1"/>
  <c r="AX124" i="7"/>
  <c r="AX125" i="7"/>
  <c r="AX126" i="7"/>
  <c r="AX127" i="7"/>
  <c r="AX128" i="7"/>
  <c r="AX129" i="7"/>
  <c r="AX130" i="7"/>
  <c r="AX131" i="7"/>
  <c r="AX123" i="7"/>
  <c r="AY124" i="7"/>
  <c r="AY125" i="7"/>
  <c r="AY126" i="7"/>
  <c r="AY127" i="7"/>
  <c r="AY128" i="7"/>
  <c r="AY129" i="7"/>
  <c r="AY130" i="7"/>
  <c r="AY131" i="7"/>
  <c r="AY123" i="7"/>
  <c r="D142" i="7"/>
  <c r="V142" i="7" s="1"/>
  <c r="C142" i="7"/>
  <c r="U142" i="7" s="1"/>
  <c r="V140" i="7"/>
  <c r="V143" i="7" s="1"/>
  <c r="V141" i="7"/>
  <c r="U141" i="7"/>
  <c r="U140" i="7"/>
  <c r="U143" i="7" s="1"/>
  <c r="D90" i="1"/>
  <c r="D26" i="11" s="1"/>
  <c r="D27" i="3"/>
  <c r="E122" i="2"/>
  <c r="E121" i="2"/>
  <c r="W61" i="2"/>
  <c r="AX134" i="7" l="1"/>
  <c r="AY134" i="7"/>
  <c r="E60" i="2"/>
  <c r="AE29" i="9"/>
  <c r="AD29" i="9"/>
  <c r="AC29" i="9"/>
  <c r="AB29" i="9"/>
  <c r="AA29" i="9"/>
  <c r="Z29" i="9"/>
  <c r="Y29" i="9"/>
  <c r="X29" i="9"/>
  <c r="W29" i="9"/>
  <c r="U29" i="9"/>
  <c r="T29" i="9"/>
  <c r="AF28" i="9"/>
  <c r="AF27" i="9"/>
  <c r="AF26" i="9"/>
  <c r="AF25" i="9"/>
  <c r="AF29" i="9" l="1"/>
  <c r="AG54" i="5" l="1"/>
  <c r="AH54" i="5" s="1"/>
  <c r="AY23" i="3"/>
  <c r="O25" i="3"/>
  <c r="C26" i="3"/>
  <c r="D26" i="3"/>
  <c r="H26" i="2"/>
  <c r="I26" i="2" s="1"/>
  <c r="J26" i="2" s="1"/>
  <c r="K26" i="2" s="1"/>
  <c r="L26" i="2" s="1"/>
  <c r="M26" i="2" s="1"/>
  <c r="N26" i="2" s="1"/>
  <c r="O26" i="2" s="1"/>
  <c r="D29" i="9"/>
  <c r="AN23" i="3"/>
  <c r="AN24" i="3"/>
  <c r="AO59" i="2" l="1"/>
  <c r="AO60" i="2" s="1"/>
  <c r="AO58" i="2"/>
  <c r="E95" i="2"/>
  <c r="D118" i="7" l="1"/>
  <c r="T118" i="7"/>
  <c r="D141" i="7"/>
  <c r="D140" i="7"/>
  <c r="C90" i="1"/>
  <c r="C26" i="11" s="1"/>
  <c r="O26" i="11" s="1"/>
  <c r="V23" i="3"/>
  <c r="O168" i="11" l="1"/>
  <c r="O167" i="11"/>
  <c r="C54" i="4" l="1"/>
  <c r="O54" i="4" l="1"/>
  <c r="P54" i="4" s="1"/>
  <c r="C106" i="11"/>
  <c r="O106" i="11" s="1"/>
  <c r="C141" i="7" l="1"/>
  <c r="C140" i="7"/>
  <c r="C118" i="7"/>
  <c r="S118" i="7"/>
  <c r="AE117" i="7"/>
  <c r="AE116" i="7"/>
  <c r="AE115" i="7"/>
  <c r="AE114" i="7"/>
  <c r="AE113" i="7"/>
  <c r="AE112" i="7"/>
  <c r="AE111" i="7"/>
  <c r="AE110" i="7"/>
  <c r="AE109" i="7"/>
  <c r="AE108" i="7"/>
  <c r="AE107" i="7"/>
  <c r="AE106" i="7"/>
  <c r="AE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05" i="7"/>
  <c r="F29" i="9"/>
  <c r="G29" i="9"/>
  <c r="Y25" i="3" s="1"/>
  <c r="Y23" i="3" s="1"/>
  <c r="H29" i="9"/>
  <c r="Z25" i="3" s="1"/>
  <c r="Z23" i="3" s="1"/>
  <c r="I29" i="9"/>
  <c r="J29" i="9"/>
  <c r="K29" i="9"/>
  <c r="L29" i="9"/>
  <c r="M29" i="9"/>
  <c r="N29" i="9"/>
  <c r="C29" i="9"/>
  <c r="O26" i="9"/>
  <c r="O27" i="9"/>
  <c r="O28" i="9"/>
  <c r="O25" i="9"/>
  <c r="P90" i="6"/>
  <c r="Q90" i="6" s="1"/>
  <c r="O54" i="5"/>
  <c r="O89" i="1"/>
  <c r="V61" i="2"/>
  <c r="AN59" i="2" s="1"/>
  <c r="D60" i="2"/>
  <c r="D122" i="2"/>
  <c r="D121" i="2"/>
  <c r="AM24" i="3"/>
  <c r="E62" i="1"/>
  <c r="C62" i="1"/>
  <c r="K5" i="8"/>
  <c r="K4" i="8"/>
  <c r="O80" i="7"/>
  <c r="O54" i="7"/>
  <c r="O25" i="7"/>
  <c r="O24" i="7"/>
  <c r="O59" i="1"/>
  <c r="O60" i="1"/>
  <c r="O61" i="1"/>
  <c r="O58" i="1"/>
  <c r="AN58" i="2" l="1"/>
  <c r="AN60" i="2" s="1"/>
  <c r="O26" i="7"/>
  <c r="P24" i="7" s="1"/>
  <c r="O29" i="9"/>
  <c r="P25" i="9" s="1"/>
  <c r="O55" i="5"/>
  <c r="P54" i="5"/>
  <c r="D62" i="1"/>
  <c r="O88" i="1"/>
  <c r="P54" i="7"/>
  <c r="P58" i="1"/>
  <c r="V96" i="2"/>
  <c r="C50" i="11" s="1"/>
  <c r="AH94" i="2"/>
  <c r="AH93" i="2"/>
  <c r="P94" i="2"/>
  <c r="P93" i="2"/>
  <c r="D95" i="2"/>
  <c r="P95" i="2" s="1"/>
  <c r="N23" i="4"/>
  <c r="M23" i="4"/>
  <c r="L23" i="4"/>
  <c r="K23" i="4"/>
  <c r="J23" i="4"/>
  <c r="I23" i="4"/>
  <c r="H23" i="4"/>
  <c r="G23" i="4"/>
  <c r="F23" i="4"/>
  <c r="E23" i="4"/>
  <c r="D23" i="4"/>
  <c r="C23" i="4"/>
  <c r="C122" i="11" l="1"/>
  <c r="O122" i="11" s="1"/>
  <c r="O50" i="11"/>
  <c r="AH96" i="2"/>
  <c r="AI93" i="2" s="1"/>
  <c r="AH95" i="2"/>
  <c r="P96" i="2"/>
  <c r="Q93" i="2" s="1"/>
  <c r="AW58" i="2" l="1"/>
  <c r="AX58" i="2"/>
  <c r="AY58" i="2"/>
  <c r="AT58" i="2"/>
  <c r="AU58" i="2"/>
  <c r="AV58" i="2"/>
  <c r="AS58" i="2"/>
  <c r="AS59" i="2"/>
  <c r="AB60" i="2"/>
  <c r="AT59" i="2" s="1"/>
  <c r="AC60" i="2"/>
  <c r="AU59" i="2" s="1"/>
  <c r="AD60" i="2"/>
  <c r="AV59" i="2" s="1"/>
  <c r="AE60" i="2"/>
  <c r="AW59" i="2" s="1"/>
  <c r="AF60" i="2"/>
  <c r="AX59" i="2" s="1"/>
  <c r="AG60" i="2"/>
  <c r="AY59" i="2" s="1"/>
  <c r="AH58" i="2"/>
  <c r="P58" i="2"/>
  <c r="B23" i="5"/>
  <c r="B23" i="4"/>
  <c r="B23" i="3"/>
  <c r="P24" i="3" s="1"/>
  <c r="B23" i="2"/>
  <c r="B23" i="1"/>
  <c r="E27" i="1" s="1"/>
  <c r="C26" i="5"/>
  <c r="O25" i="5"/>
  <c r="C26" i="4"/>
  <c r="O24" i="4"/>
  <c r="O24" i="3"/>
  <c r="D26" i="2"/>
  <c r="D27" i="2" s="1"/>
  <c r="P25" i="2"/>
  <c r="C27" i="1"/>
  <c r="D26" i="6"/>
  <c r="AH60" i="2" l="1"/>
  <c r="C27" i="3"/>
  <c r="P24" i="4"/>
  <c r="E26" i="6"/>
  <c r="Q25" i="2"/>
  <c r="P59" i="2"/>
  <c r="AX60" i="2"/>
  <c r="AW60" i="2"/>
  <c r="AT60" i="2"/>
  <c r="AY60" i="2"/>
  <c r="P60" i="6"/>
  <c r="Q60" i="6" s="1"/>
  <c r="AS60" i="2"/>
  <c r="AV60" i="2"/>
  <c r="E26" i="2"/>
  <c r="E27" i="2" s="1"/>
  <c r="AU60" i="2"/>
  <c r="AZ58" i="2"/>
  <c r="AH59" i="2"/>
  <c r="P25" i="5"/>
  <c r="C27" i="5"/>
  <c r="D26" i="4"/>
  <c r="P25" i="6"/>
  <c r="AM23" i="3"/>
  <c r="U23" i="3"/>
  <c r="AH61" i="2" l="1"/>
  <c r="AI58" i="2" s="1"/>
  <c r="F26" i="6"/>
  <c r="AG23" i="3"/>
  <c r="AH23" i="3" s="1"/>
  <c r="AZ59" i="2"/>
  <c r="AZ60" i="2" s="1"/>
  <c r="F26" i="2"/>
  <c r="F27" i="2" s="1"/>
  <c r="E26" i="4"/>
  <c r="F26" i="4"/>
  <c r="D27" i="1"/>
  <c r="AZ22" i="3"/>
  <c r="O26" i="5" l="1"/>
  <c r="G26" i="6"/>
  <c r="H26" i="6" s="1"/>
  <c r="G26" i="2"/>
  <c r="G27" i="2" s="1"/>
  <c r="BA59" i="2"/>
  <c r="F27" i="1"/>
  <c r="O25" i="1"/>
  <c r="P25" i="1" s="1"/>
  <c r="I23" i="6" l="1"/>
  <c r="F23" i="6"/>
  <c r="E23" i="6"/>
  <c r="L23" i="6"/>
  <c r="K23" i="6"/>
  <c r="H23" i="6"/>
  <c r="G23" i="6"/>
  <c r="N23" i="6"/>
  <c r="J23" i="6"/>
  <c r="O23" i="6"/>
  <c r="M23" i="6"/>
  <c r="D23" i="6"/>
  <c r="D27" i="6" s="1"/>
  <c r="B23" i="6"/>
  <c r="Q2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tc={F044B4CF-AE39-4E4F-8ACA-CE8C9E067405}</author>
    <author>tc={861A0E9A-4674-45DC-BCC3-030113FFED84}</author>
    <author>Milton José Bosqueiro</author>
    <author>tc={B6A8E143-42EC-43C6-9331-03C293D3CE30}</author>
  </authors>
  <commentList>
    <comment ref="E30" authorId="0" shapeId="0" xr:uid="{F044B4CF-AE39-4E4F-8ACA-CE8C9E0674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Ferramentas novas</t>
      </text>
    </comment>
    <comment ref="F30" authorId="1" shapeId="0" xr:uid="{861A0E9A-4674-45DC-BCC3-030113FFED8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Vlr. Cesta basica e derivados da fabrica</t>
      </text>
    </comment>
    <comment ref="B32" authorId="2" shapeId="0" xr:uid="{9C267229-10B3-47A1-80A6-0DDE9AAAD76D}">
      <text>
        <r>
          <rPr>
            <b/>
            <sz val="9"/>
            <color indexed="81"/>
            <rFont val="Segoe UI"/>
            <family val="2"/>
          </rPr>
          <t>Milton José Bosqueiro:</t>
        </r>
        <r>
          <rPr>
            <sz val="9"/>
            <color indexed="81"/>
            <rFont val="Segoe UI"/>
            <family val="2"/>
          </rPr>
          <t xml:space="preserve">
item contabilizados/itens contados x 100</t>
        </r>
      </text>
    </comment>
    <comment ref="B36" authorId="2" shapeId="0" xr:uid="{EDAE1D8F-0186-49FB-805A-3B97F1778DD3}">
      <text>
        <r>
          <rPr>
            <b/>
            <sz val="9"/>
            <color indexed="81"/>
            <rFont val="Segoe UI"/>
            <family val="2"/>
          </rPr>
          <t>Milton José Bosqueiro:</t>
        </r>
        <r>
          <rPr>
            <sz val="9"/>
            <color indexed="81"/>
            <rFont val="Segoe UI"/>
            <family val="2"/>
          </rPr>
          <t xml:space="preserve">
qtde de vezes que o produto faltou em relação a necessidade de vendas</t>
        </r>
      </text>
    </comment>
    <comment ref="B169" authorId="3" shapeId="0" xr:uid="{B6A8E143-42EC-43C6-9331-03C293D3CE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Dias Perdidos em 1 milhão de horas tabalhadas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tc={49E2EFFC-353C-43AE-B6F7-EF97E232D4C4}</author>
  </authors>
  <commentList>
    <comment ref="D24" authorId="0" shapeId="0" xr:uid="{49E2EFFC-353C-43AE-B6F7-EF97E232D4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Reprojeto Mercedes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tc={72AD120A-4222-4340-9B2E-136E7B8F2475}</author>
    <author>tc={B2C2C7D6-8289-43D9-B314-3323D0602CD7}</author>
    <author>tc={1F4BEB83-9673-48AE-A14E-BBD1434E7A36}</author>
    <author>tc={F4186169-9F95-45D5-A9AD-384CC7E615E5}</author>
    <author>tc={2AF219FC-54B2-499D-88B2-C8840EC7989D}</author>
  </authors>
  <commentList>
    <comment ref="E25" authorId="0" shapeId="0" xr:uid="{72AD120A-4222-4340-9B2E-136E7B8F247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Ferramentas novas</t>
      </text>
    </comment>
    <comment ref="F25" authorId="1" shapeId="0" xr:uid="{B2C2C7D6-8289-43D9-B314-3323D0602C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Vlr. Cesta basica e derivados da fabrica</t>
      </text>
    </comment>
    <comment ref="A59" authorId="2" shapeId="0" xr:uid="{1F4BEB83-9673-48AE-A14E-BBD1434E7A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Embalagem(Condição da bem + Dif qtde) + Recebimento (Falhas dimensionais)</t>
      </text>
    </comment>
    <comment ref="A60" authorId="3" shapeId="0" xr:uid="{F4186169-9F95-45D5-A9AD-384CC7E615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Qtde refugo no processo produtivo</t>
      </text>
    </comment>
    <comment ref="A61" authorId="4" shapeId="0" xr:uid="{2AF219FC-54B2-499D-88B2-C8840EC798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Qtde recebida x pedido colocado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<sst xmlns="http://schemas.openxmlformats.org/spreadsheetml/2006/main" count="1832" uniqueCount="442">
  <si>
    <t>indicadores de performance - kpi's - 2026</t>
  </si>
  <si>
    <t>GESTÃO FÁBRICA</t>
  </si>
  <si>
    <t>OEE - TECNOLOGIA - %</t>
  </si>
  <si>
    <t>MÉDIAS</t>
  </si>
  <si>
    <t>total produzido/total planejadoX100</t>
  </si>
  <si>
    <t>Períodos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</si>
  <si>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</si>
  <si>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</si>
  <si>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</si>
  <si>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</si>
  <si>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</si>
  <si>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</si>
  <si>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</si>
  <si>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</si>
  <si>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</si>
  <si>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</si>
  <si>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</si>
  <si>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</si>
  <si>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Resultados</t>
  </si>
  <si>
    <t>REDUÇÃO DE CUSTO GERAL - R$</t>
  </si>
  <si>
    <t>total refugo/total produzidoX100</t>
  </si>
  <si>
    <t>QUALIDADE INTERNA (USIN+MONT)- PPM</t>
  </si>
  <si>
    <t>total refugo/total produzidoX1000000</t>
  </si>
  <si>
    <t>ACIDENTES - TAXA DE GRAVIDADE - DIAS PERDIDOS</t>
  </si>
  <si>
    <t>total treinamentos realizados/total de treinamentos planejadosX100</t>
  </si>
  <si>
    <t>COMPRAS</t>
  </si>
  <si>
    <t>INDICE QUALIDADE FORNECEDOR - IQF - %</t>
  </si>
  <si>
    <t>total de recebimentos rejeitados/total de recebimentosX100</t>
  </si>
  <si>
    <t>ATENDIMENTO PEDIDO x ENTREGA - %</t>
  </si>
  <si>
    <t>REDUÇÃO DE CUSTO NEGOCIAÇÃO - R$</t>
  </si>
  <si>
    <t>ALMOXARIFADO</t>
  </si>
  <si>
    <t>ACURACIDADE DE ESTOQUE - %</t>
  </si>
  <si>
    <t>Almox</t>
  </si>
  <si>
    <t>total de itens contados/total de itens contabilizadosX100</t>
  </si>
  <si>
    <t>variação de custos</t>
  </si>
  <si>
    <t>RUPTURA DE ESTOQUE - Nº ABSOLUTO</t>
  </si>
  <si>
    <t>ok</t>
  </si>
  <si>
    <t>DIVERGÊNCIA DE RECEBIMENTO - Nº ABSOLUTO</t>
  </si>
  <si>
    <t>total de horas programadas mês/total hs trabalhadas mêsX100</t>
  </si>
  <si>
    <t>QUALIDADE</t>
  </si>
  <si>
    <t>QUALIDADE INTERNA (USIN+MONT) - PPM</t>
  </si>
  <si>
    <t>QUALIDADE CLIENTE - PPM (SFA+ZF+VAREJO)</t>
  </si>
  <si>
    <t>numero de não conformidade nas auditorias internas</t>
  </si>
  <si>
    <t>numero de não conformidade nas auditorias externas</t>
  </si>
  <si>
    <t>REDUÇÃO/MELHORIAS NO PROCESSO - R$</t>
  </si>
  <si>
    <t>RECLAMAÇÃO CLIENTES - % (ZF+VAREJO)</t>
  </si>
  <si>
    <t>MANUTENÇÃO</t>
  </si>
  <si>
    <t>REDUÇÃO CUSTO MANUTENÇÃO - R$ (MTBF+MTBR)</t>
  </si>
  <si>
    <t>CUSTO DE MANUTENÇÃO / FATURAMENTO - %</t>
  </si>
  <si>
    <t>CUSTO DE MANUTENÇÃO / PRODUÇÃO - R$</t>
  </si>
  <si>
    <t>RECURSOS HUMANOS</t>
  </si>
  <si>
    <t>TEMPO MÉDIO DE RECRUTAMENTO - DIAS</t>
  </si>
  <si>
    <t>TAXA ABSENTEÍSMO - %</t>
  </si>
  <si>
    <t>TAXA TURN OVER - %</t>
  </si>
  <si>
    <t>TREINAMENTO - HS ANO</t>
  </si>
  <si>
    <t>PROCESSOS    LIDERANÇA</t>
  </si>
  <si>
    <t>APROVAÇÃO AUDITORIAS INT+EXT - %</t>
  </si>
  <si>
    <t>REDUÇÃO DE CUSTO NO PROCESSO - R$</t>
  </si>
  <si>
    <t>REFUGO -%</t>
  </si>
  <si>
    <t>ENGENHARIA</t>
  </si>
  <si>
    <t>PRODUTOS IMPLANTADOS - NUMERO ABSOLUTO</t>
  </si>
  <si>
    <t>TEMPO DE ENTREGA DO PROJETO - DIAS</t>
  </si>
  <si>
    <t>REDUÇÃO DE CUSTO NO PROJETO DO PRODUTO - R$</t>
  </si>
  <si>
    <t>TESTE HIBRIDO FUNCIONAL E VIDA ÚTIL  10/26</t>
  </si>
  <si>
    <t>entrega</t>
  </si>
  <si>
    <t>TECNOLOGIA DA INFORMAÇÃO</t>
  </si>
  <si>
    <t>MELHORIAS IMPLANTADAS - UNIDADES ANO</t>
  </si>
  <si>
    <t>SISTEMAS EM FUNCIONAMENTO - %</t>
  </si>
  <si>
    <t>TAXA RESOLUÇÃO NO ATENDIMENTO - %</t>
  </si>
  <si>
    <t>Comercial</t>
  </si>
  <si>
    <t>VENDAS VAREJO</t>
  </si>
  <si>
    <t>QUALIDADE VAREJO</t>
  </si>
  <si>
    <t>RETENÇÃO VAREJO</t>
  </si>
  <si>
    <t>ESG (ENVIRONMENTAL, SOCIAL, GOVERNANCE)</t>
  </si>
  <si>
    <t>ENVIRONMENTAL (AMBIENTAL - Eficiência e Custo)</t>
  </si>
  <si>
    <t>RESULTADOS MENSAIS</t>
  </si>
  <si>
    <t>Links</t>
  </si>
  <si>
    <t>Energia Elétrica</t>
  </si>
  <si>
    <t>Água</t>
  </si>
  <si>
    <t>Óleos/Residuos Perigosos</t>
  </si>
  <si>
    <t>Sucata Metálica</t>
  </si>
  <si>
    <t>SOCIAL (PESSOAS - Produtividade e risco trabalhista)</t>
  </si>
  <si>
    <t>Absentéismo %</t>
  </si>
  <si>
    <t>TurnOver %</t>
  </si>
  <si>
    <r>
      <t xml:space="preserve">Saúde e Segurança  </t>
    </r>
    <r>
      <rPr>
        <b/>
        <sz val="9"/>
        <color rgb="FF000000"/>
        <rFont val="Aptos Narrow"/>
        <family val="2"/>
        <scheme val="minor"/>
      </rPr>
      <t>(Tx.Gravidade) NBR14283:2023</t>
    </r>
  </si>
  <si>
    <t>Treinamento (HsH)</t>
  </si>
  <si>
    <t>GOVERNANCE (GOVERNANÇA - credibilidade e crescimento) - Atualizações</t>
  </si>
  <si>
    <t>1. Organograma</t>
  </si>
  <si>
    <t>2. Plano de Cargos</t>
  </si>
  <si>
    <t>3. Politica de Conformidade Trabalhista - Conduta</t>
  </si>
  <si>
    <t>4. Politica Anticorrupção e Conflito de Interesses</t>
  </si>
  <si>
    <t>5. Controles Financeiros e Fluxos de Caixa</t>
  </si>
  <si>
    <t>6. Indicadores de desempenho</t>
  </si>
  <si>
    <t>7. Transparência - Decisões Estratégicas</t>
  </si>
  <si>
    <t>8. IQF - fornecedores críticos %</t>
  </si>
  <si>
    <t>Mês</t>
  </si>
  <si>
    <t>Média 2025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</si>
  <si>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</si>
  <si>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</si>
  <si>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</si>
  <si>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</si>
  <si>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</si>
  <si>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</si>
  <si>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</si>
  <si>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</si>
  <si>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</si>
  <si>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</si>
  <si>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</si>
  <si>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</si>
  <si>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Media</t>
  </si>
  <si>
    <t>Res.%</t>
  </si>
  <si>
    <t>Meta R$</t>
  </si>
  <si>
    <t>Custo Mensal R$</t>
  </si>
  <si>
    <t>Consumo Mensal KWH</t>
  </si>
  <si>
    <t>Custo Peça Produzida R$</t>
  </si>
  <si>
    <t>Peças Produzidas Unid.</t>
  </si>
  <si>
    <t>Consumo Mensal m³</t>
  </si>
  <si>
    <t>Custo Descarte R$</t>
  </si>
  <si>
    <t>Descarte  Litros</t>
  </si>
  <si>
    <t>Fornecedores Licenciados</t>
  </si>
  <si>
    <t>CADRI Nº</t>
  </si>
  <si>
    <t>Validade</t>
  </si>
  <si>
    <t>Observação</t>
  </si>
  <si>
    <t>PROLUMINAS</t>
  </si>
  <si>
    <t>EVOC</t>
  </si>
  <si>
    <t>Compra Mensal Litros</t>
  </si>
  <si>
    <t>CÓD.</t>
  </si>
  <si>
    <t>Descrição</t>
  </si>
  <si>
    <t>JAN/LT</t>
  </si>
  <si>
    <t>FEV/LT</t>
  </si>
  <si>
    <t>MAR/LT</t>
  </si>
  <si>
    <t>ABR/LT</t>
  </si>
  <si>
    <t>MAI/LT</t>
  </si>
  <si>
    <t>JUN/LT</t>
  </si>
  <si>
    <t>JUL/LT</t>
  </si>
  <si>
    <t>AGO/LT</t>
  </si>
  <si>
    <t>SET/LT</t>
  </si>
  <si>
    <t>OUT/LT</t>
  </si>
  <si>
    <t>NOV/LT</t>
  </si>
  <si>
    <t>DEZ/LT</t>
  </si>
  <si>
    <t>TOTAL</t>
  </si>
  <si>
    <t>Média</t>
  </si>
  <si>
    <t>SH-30R</t>
  </si>
  <si>
    <t>Óleo Lubrificante</t>
  </si>
  <si>
    <t>SSV-15</t>
  </si>
  <si>
    <t>W-98</t>
  </si>
  <si>
    <t>BR-68</t>
  </si>
  <si>
    <t>Óleo Hidraulico</t>
  </si>
  <si>
    <t>Fornecedores Homologados</t>
  </si>
  <si>
    <t>COD.FORN</t>
  </si>
  <si>
    <t>Yoshiro do Brasil</t>
  </si>
  <si>
    <t>DATA</t>
  </si>
  <si>
    <t>MTR</t>
  </si>
  <si>
    <t>LITROS</t>
  </si>
  <si>
    <t>03.02.25</t>
  </si>
  <si>
    <t>27.03.26</t>
  </si>
  <si>
    <t>17.03.25</t>
  </si>
  <si>
    <t>23.06.26</t>
  </si>
  <si>
    <t>02.04.25</t>
  </si>
  <si>
    <t>14.04.25</t>
  </si>
  <si>
    <t>30.04.25</t>
  </si>
  <si>
    <t>13.05.25</t>
  </si>
  <si>
    <t>30.03.25</t>
  </si>
  <si>
    <t>27.06.25</t>
  </si>
  <si>
    <t>28.08.25</t>
  </si>
  <si>
    <t>11.09.25</t>
  </si>
  <si>
    <t>07.10.25</t>
  </si>
  <si>
    <t>27.10.25</t>
  </si>
  <si>
    <t>19.12.25</t>
  </si>
  <si>
    <t>TOTAL DESCARTADO 2025</t>
  </si>
  <si>
    <t>MÉDIA DESCARTADO 2025</t>
  </si>
  <si>
    <t>Meses</t>
  </si>
  <si>
    <t>Data Solic.</t>
  </si>
  <si>
    <t>Hs. Disp.</t>
  </si>
  <si>
    <t>Data Início</t>
  </si>
  <si>
    <t>Hs. Perdas</t>
  </si>
  <si>
    <t xml:space="preserve">Resultado </t>
  </si>
  <si>
    <t>Resultado</t>
  </si>
  <si>
    <t>Meta</t>
  </si>
  <si>
    <t>Nº Solicit</t>
  </si>
  <si>
    <t>Admissão</t>
  </si>
  <si>
    <t>Hs Trein</t>
  </si>
  <si>
    <t>Demissão</t>
  </si>
  <si>
    <t>Acumulado</t>
  </si>
  <si>
    <t>Total Func</t>
  </si>
  <si>
    <t>Total Ano</t>
  </si>
  <si>
    <t>Media R$</t>
  </si>
  <si>
    <t>EPI's Un.</t>
  </si>
  <si>
    <t>Sapato de Segurança</t>
  </si>
  <si>
    <t>Luva Petroblue CA 38792</t>
  </si>
  <si>
    <t>Touca Descartável</t>
  </si>
  <si>
    <t>Protetor Auricular Cordinha</t>
  </si>
  <si>
    <t>Protetor Auricular Descartável</t>
  </si>
  <si>
    <t>Luva Descartável</t>
  </si>
  <si>
    <t>Luva Verde CA 32069</t>
  </si>
  <si>
    <t>Óculos de Proteção</t>
  </si>
  <si>
    <t>Luva PVC Cano Longo</t>
  </si>
  <si>
    <t>Creme Potão</t>
  </si>
  <si>
    <t>Máscara Proteção</t>
  </si>
  <si>
    <t>Palmilha PU</t>
  </si>
  <si>
    <t>Total R$</t>
  </si>
  <si>
    <t>Previsão Redução Mes R$</t>
  </si>
  <si>
    <t>Redução Mensal R$</t>
  </si>
  <si>
    <t>Redução Acumulada R$</t>
  </si>
  <si>
    <t>Percentual %</t>
  </si>
  <si>
    <t>Descrição da redução</t>
  </si>
  <si>
    <t>Unidade Hidráulica / Reuso Ferramentas</t>
  </si>
  <si>
    <t>Lub.Ext.4ºeixo / Reuso Ferramentas</t>
  </si>
  <si>
    <t>Redução Compra Ferramentas / Reuso Ferramentas</t>
  </si>
  <si>
    <t>Reuso Ferramentas + Vlr cestabásica e Derivados</t>
  </si>
  <si>
    <t>Manut.Interna Compressor</t>
  </si>
  <si>
    <t>Conforme - NBR14283:2023</t>
  </si>
  <si>
    <t>Taxa de gravidade</t>
  </si>
  <si>
    <t>(dias perdidos)</t>
  </si>
  <si>
    <t xml:space="preserve">Até 500                           </t>
  </si>
  <si>
    <t>MUITO BOA</t>
  </si>
  <si>
    <t xml:space="preserve">De 500,01 - 1000          </t>
  </si>
  <si>
    <t>BOA</t>
  </si>
  <si>
    <t xml:space="preserve">De 1000,01 - 2000             </t>
  </si>
  <si>
    <t>REGULAR</t>
  </si>
  <si>
    <t xml:space="preserve">Acima de 2000               </t>
  </si>
  <si>
    <t>PÉSSIMA</t>
  </si>
  <si>
    <t>Resultado Mensal</t>
  </si>
  <si>
    <t>Horas Trabalhadas</t>
  </si>
  <si>
    <t>Meta %</t>
  </si>
  <si>
    <t>Resultado Mensal %</t>
  </si>
  <si>
    <t>Resultado Mensal % (PerfxQual)</t>
  </si>
  <si>
    <t>Plano de Ação</t>
  </si>
  <si>
    <t>Área:Produção</t>
  </si>
  <si>
    <t>Responsável:</t>
  </si>
  <si>
    <t xml:space="preserve">Data de atualização: </t>
  </si>
  <si>
    <t>N° seqüencial do projeto: NA</t>
  </si>
  <si>
    <t>Título: Produtividade</t>
  </si>
  <si>
    <t xml:space="preserve">Local: </t>
  </si>
  <si>
    <t xml:space="preserve">Hora: </t>
  </si>
  <si>
    <t>Processo</t>
  </si>
  <si>
    <t>Ações</t>
  </si>
  <si>
    <t>O que Fazer? (objetivo)</t>
  </si>
  <si>
    <t>Quem irá fazer? (responsável)</t>
  </si>
  <si>
    <t>Quando?    (cronograma)</t>
  </si>
  <si>
    <t>Onde Fazer? (local)</t>
  </si>
  <si>
    <t>Por que Fazer? (motivo)</t>
  </si>
  <si>
    <t>Como Fazer? (processo)</t>
  </si>
  <si>
    <t>Quanto para fazer? (custo)</t>
  </si>
  <si>
    <t>Status</t>
  </si>
  <si>
    <t>Participantes/Backup:</t>
  </si>
  <si>
    <r>
      <rPr>
        <b/>
        <sz val="11"/>
        <color indexed="8"/>
        <rFont val="Calibri"/>
        <family val="2"/>
      </rPr>
      <t>Orientações Preenchimento:</t>
    </r>
    <r>
      <rPr>
        <sz val="10"/>
        <rFont val="Arial"/>
        <family val="2"/>
      </rPr>
      <t xml:space="preserve">
1) O que (inicia com um verbo no infinitivo, no sentido de "fazer / executar")
2) Quem: </t>
    </r>
    <r>
      <rPr>
        <b/>
        <sz val="10"/>
        <color indexed="10"/>
        <rFont val="Arial"/>
        <family val="2"/>
      </rPr>
      <t>apenas um nome</t>
    </r>
    <r>
      <rPr>
        <sz val="10"/>
        <rFont val="Arial"/>
        <family val="2"/>
      </rPr>
      <t>. Não vale colocar "Equipe XYZ", "Área Z".
3) Quando: dd/mm/aaaa
4) Onde: indicar área, setor, máquina, local, etc
5) Por que: o que justifique</t>
    </r>
  </si>
  <si>
    <r>
      <rPr>
        <b/>
        <sz val="11"/>
        <color theme="1"/>
        <rFont val="Aptos Narrow"/>
        <family val="2"/>
        <scheme val="minor"/>
      </rPr>
      <t>Previsão</t>
    </r>
    <r>
      <rPr>
        <sz val="11"/>
        <color theme="1"/>
        <rFont val="Aptos Narrow"/>
        <family val="2"/>
        <scheme val="minor"/>
      </rPr>
      <t xml:space="preserve"> Red. Mês R$</t>
    </r>
  </si>
  <si>
    <t>Redução Mês R$</t>
  </si>
  <si>
    <t>Redução Acum. R$</t>
  </si>
  <si>
    <t>Redução Vlr. Compra Ferramenta</t>
  </si>
  <si>
    <t>Redução Vlr Cesta básica de seus Derivados na fábrica</t>
  </si>
  <si>
    <t>IQF Geral</t>
  </si>
  <si>
    <t xml:space="preserve">Qualidade </t>
  </si>
  <si>
    <t>Refugo</t>
  </si>
  <si>
    <t>Entrega</t>
  </si>
  <si>
    <t>Resultado %</t>
  </si>
  <si>
    <t>Pedido Colocado Unid</t>
  </si>
  <si>
    <t>Entrega Recebida Unid.</t>
  </si>
  <si>
    <t>Qtde Inventariada</t>
  </si>
  <si>
    <t>Resultado encontrado</t>
  </si>
  <si>
    <t>Descrição dos itens</t>
  </si>
  <si>
    <t>Falta de Produto</t>
  </si>
  <si>
    <t>Divergência encont</t>
  </si>
  <si>
    <t>Deposito</t>
  </si>
  <si>
    <t>DEP01 - almox</t>
  </si>
  <si>
    <t>DEP02 - produção</t>
  </si>
  <si>
    <t>DEP03</t>
  </si>
  <si>
    <t>DEP04</t>
  </si>
  <si>
    <t>DEP05</t>
  </si>
  <si>
    <t>DEP06</t>
  </si>
  <si>
    <t>DEP07 - ferramentas</t>
  </si>
  <si>
    <t>DEP08 - evl varejo</t>
  </si>
  <si>
    <t>DEP09 - intermed</t>
  </si>
  <si>
    <t>DEP10 - Montag</t>
  </si>
  <si>
    <t>DEP11 - global</t>
  </si>
  <si>
    <t>DEP12 - fer produção</t>
  </si>
  <si>
    <t>DEP13 - exportaç</t>
  </si>
  <si>
    <t>Total</t>
  </si>
  <si>
    <t xml:space="preserve">Total </t>
  </si>
  <si>
    <t>FERRAMENTAS</t>
  </si>
  <si>
    <t>Fornecedores</t>
  </si>
  <si>
    <t>DN</t>
  </si>
  <si>
    <t>DR</t>
  </si>
  <si>
    <t>VN</t>
  </si>
  <si>
    <t>VR</t>
  </si>
  <si>
    <t>WOLF</t>
  </si>
  <si>
    <t>MCTOOLS</t>
  </si>
  <si>
    <t>ANAHNG</t>
  </si>
  <si>
    <t>BRUNITEC</t>
  </si>
  <si>
    <t>EMUGE</t>
  </si>
  <si>
    <t>Ferramentas em Unid</t>
  </si>
  <si>
    <t>Ferramentas Novas</t>
  </si>
  <si>
    <t>Ferramentas em R$</t>
  </si>
  <si>
    <t>Retrabalhos</t>
  </si>
  <si>
    <t>Produzido</t>
  </si>
  <si>
    <t>Produzido Unidades</t>
  </si>
  <si>
    <t>Total Custos  Ferramentas</t>
  </si>
  <si>
    <t>Fundidos</t>
  </si>
  <si>
    <t>Outros</t>
  </si>
  <si>
    <t>%</t>
  </si>
  <si>
    <t>Previsão Redução Mês R$</t>
  </si>
  <si>
    <t>Redução R$</t>
  </si>
  <si>
    <t>Totais</t>
  </si>
  <si>
    <t>Méd.%</t>
  </si>
  <si>
    <t>Devolução Itens</t>
  </si>
  <si>
    <t>ZF Brasil</t>
  </si>
  <si>
    <t>Varejo</t>
  </si>
  <si>
    <t>Total de Itens Vendidos</t>
  </si>
  <si>
    <t>SFA</t>
  </si>
  <si>
    <t>Mercado</t>
  </si>
  <si>
    <t>Total Vendas</t>
  </si>
  <si>
    <t>Mèdia</t>
  </si>
  <si>
    <t>% Reclamação</t>
  </si>
  <si>
    <r>
      <t>⭐</t>
    </r>
    <r>
      <rPr>
        <sz val="10.5"/>
        <color theme="1"/>
        <rFont val="Segoe UI"/>
        <family val="2"/>
      </rPr>
      <t xml:space="preserve"> </t>
    </r>
    <r>
      <rPr>
        <b/>
        <sz val="10.5"/>
        <color theme="1"/>
        <rFont val="Segoe UI"/>
        <family val="2"/>
      </rPr>
      <t>Ótimo:</t>
    </r>
    <r>
      <rPr>
        <sz val="10.5"/>
        <color theme="1"/>
        <rFont val="Segoe UI"/>
        <family val="2"/>
      </rPr>
      <t xml:space="preserve"> &lt; 1%</t>
    </r>
  </si>
  <si>
    <r>
      <t>👍</t>
    </r>
    <r>
      <rPr>
        <sz val="10.5"/>
        <color theme="1"/>
        <rFont val="Segoe UI"/>
        <family val="2"/>
      </rPr>
      <t xml:space="preserve"> </t>
    </r>
    <r>
      <rPr>
        <b/>
        <sz val="10.5"/>
        <color theme="1"/>
        <rFont val="Segoe UI"/>
        <family val="2"/>
      </rPr>
      <t>Aceitável:</t>
    </r>
    <r>
      <rPr>
        <sz val="10.5"/>
        <color theme="1"/>
        <rFont val="Segoe UI"/>
        <family val="2"/>
      </rPr>
      <t xml:space="preserve"> 1% a 3%</t>
    </r>
  </si>
  <si>
    <r>
      <t>⚠️</t>
    </r>
    <r>
      <rPr>
        <sz val="10.5"/>
        <color theme="1"/>
        <rFont val="Segoe UI"/>
        <family val="2"/>
      </rPr>
      <t xml:space="preserve"> </t>
    </r>
    <r>
      <rPr>
        <b/>
        <sz val="10.5"/>
        <color theme="1"/>
        <rFont val="Segoe UI"/>
        <family val="2"/>
      </rPr>
      <t>Atenção:</t>
    </r>
    <r>
      <rPr>
        <sz val="10.5"/>
        <color theme="1"/>
        <rFont val="Segoe UI"/>
        <family val="2"/>
      </rPr>
      <t xml:space="preserve"> &gt; 3%</t>
    </r>
  </si>
  <si>
    <t>PPM</t>
  </si>
  <si>
    <t>PPM Usinagem</t>
  </si>
  <si>
    <t>PPM ZF Brasil</t>
  </si>
  <si>
    <t>PPM Montagem</t>
  </si>
  <si>
    <t>PPM SFA</t>
  </si>
  <si>
    <t>PPM Total</t>
  </si>
  <si>
    <t>PPM Varejo</t>
  </si>
  <si>
    <t>PPM Médio</t>
  </si>
  <si>
    <t>NOTAS FISCAIS DE DEVOLUÇÃO  DE GARANTIA</t>
  </si>
  <si>
    <t>Tx Reclamação</t>
  </si>
  <si>
    <t>Reclam/ procedencia</t>
  </si>
  <si>
    <t>Previsão Redução R$</t>
  </si>
  <si>
    <t>Manutenção R$</t>
  </si>
  <si>
    <t>Valor Manutenção R$</t>
  </si>
  <si>
    <t>Faturamento R$</t>
  </si>
  <si>
    <t>Volume Produzido</t>
  </si>
  <si>
    <t>Sist Hidraul</t>
  </si>
  <si>
    <t>Lub.Externa 4eixo</t>
  </si>
  <si>
    <t>Manut Interna do compressor</t>
  </si>
  <si>
    <t>EVBST0201/EVBST0033/EVROL0004/0005</t>
  </si>
  <si>
    <t>EVBST0201/EVBST0033/EVROL0004/0006</t>
  </si>
  <si>
    <t>EVBST0201/EVBST0033/EVROL0004/0007</t>
  </si>
  <si>
    <t>EVBST0201/EVBST0033/EVROL0004/0008</t>
  </si>
  <si>
    <t>Média %</t>
  </si>
  <si>
    <t>EVPCE7628</t>
  </si>
  <si>
    <t>EVPCE7607</t>
  </si>
  <si>
    <t>EVPCE7613</t>
  </si>
  <si>
    <t>HPBJ0003</t>
  </si>
  <si>
    <t>EVPCE7680</t>
  </si>
  <si>
    <t>HPCE0001</t>
  </si>
  <si>
    <t>EVPCE7694</t>
  </si>
  <si>
    <t>EVPCE7682</t>
  </si>
  <si>
    <t>HPCE0009</t>
  </si>
  <si>
    <t>HPCE0016</t>
  </si>
  <si>
    <t>HPBJ0001</t>
  </si>
  <si>
    <t>EVPCE7691</t>
  </si>
  <si>
    <t>HPCE0017</t>
  </si>
  <si>
    <t>HPBJ0002</t>
  </si>
  <si>
    <t>EVPCE7693</t>
  </si>
  <si>
    <t>HPCE0036</t>
  </si>
  <si>
    <t>EVPCM7003</t>
  </si>
  <si>
    <t>HPCE0038</t>
  </si>
  <si>
    <t>HPBJ0004</t>
  </si>
  <si>
    <t>EVPCR5301</t>
  </si>
  <si>
    <t>HPCE7695</t>
  </si>
  <si>
    <t>HPCE7629</t>
  </si>
  <si>
    <t>HPCE7696</t>
  </si>
  <si>
    <t>HPCM0003</t>
  </si>
  <si>
    <t>HPCM0011</t>
  </si>
  <si>
    <t>HPCM0015</t>
  </si>
  <si>
    <t>HPCE7682</t>
  </si>
  <si>
    <t>HPCM0020</t>
  </si>
  <si>
    <t>HPCM0041</t>
  </si>
  <si>
    <t>HPCM0043</t>
  </si>
  <si>
    <t>HPCM0060</t>
  </si>
  <si>
    <t>HPCM0108</t>
  </si>
  <si>
    <t>HPCM0137</t>
  </si>
  <si>
    <t>HPCM0139</t>
  </si>
  <si>
    <t>HPCM0140</t>
  </si>
  <si>
    <t>HPCM0146</t>
  </si>
  <si>
    <t>HPCM0117</t>
  </si>
  <si>
    <t>HPCM0118</t>
  </si>
  <si>
    <t>HPCM7082</t>
  </si>
  <si>
    <t>HPCM7075</t>
  </si>
  <si>
    <t>HPCM7097</t>
  </si>
  <si>
    <t>HPCM7168</t>
  </si>
  <si>
    <t>HPCM0145</t>
  </si>
  <si>
    <t>HPCM7169</t>
  </si>
  <si>
    <t>HPCM0144</t>
  </si>
  <si>
    <t>HPCR0093</t>
  </si>
  <si>
    <t>HPCR0092</t>
  </si>
  <si>
    <t>HPCR0094</t>
  </si>
  <si>
    <t>HPCR0095</t>
  </si>
  <si>
    <t>Vendas Varejo</t>
  </si>
  <si>
    <t>Vendas ZF Brasil</t>
  </si>
  <si>
    <t>Vendas SFA</t>
  </si>
  <si>
    <t>Vendas SFA (Serviço)</t>
  </si>
  <si>
    <t>Vendas Exportação</t>
  </si>
  <si>
    <t>Total Faturamento</t>
  </si>
  <si>
    <t>EVCM8159</t>
  </si>
  <si>
    <t>Projetos Implantados</t>
  </si>
  <si>
    <t>Redução Prevista R$</t>
  </si>
  <si>
    <t>Produtos</t>
  </si>
  <si>
    <t>Mèdia Mês</t>
  </si>
  <si>
    <t>EVCM7176</t>
  </si>
  <si>
    <t>EVCM7200</t>
  </si>
  <si>
    <t>EVCM7195</t>
  </si>
  <si>
    <t>EVCM7196</t>
  </si>
  <si>
    <t>EVCM7186</t>
  </si>
  <si>
    <t>EVCM7206</t>
  </si>
  <si>
    <t>EVCR5300</t>
  </si>
  <si>
    <t>EVCR5301</t>
  </si>
  <si>
    <t>EVCR5302</t>
  </si>
  <si>
    <t>EVCR5303</t>
  </si>
  <si>
    <t>EVCM7000</t>
  </si>
  <si>
    <t>EVCM7058</t>
  </si>
  <si>
    <t>EVCM7033</t>
  </si>
  <si>
    <t>EVCM7139</t>
  </si>
  <si>
    <t>EVCM7075</t>
  </si>
  <si>
    <t>EVCM7173</t>
  </si>
  <si>
    <t>TOTAL DESCARTADO 2026</t>
  </si>
  <si>
    <t>MÉDIA DESCARTADO 2026</t>
  </si>
  <si>
    <t>Custo EE/peça R$</t>
  </si>
  <si>
    <t>Consumo/peça produzida (L)</t>
  </si>
  <si>
    <t>Custo óleo/peça R$</t>
  </si>
  <si>
    <t xml:space="preserve">Peças Produzidas </t>
  </si>
  <si>
    <r>
      <t>Venda Sucata</t>
    </r>
    <r>
      <rPr>
        <b/>
        <sz val="11"/>
        <color theme="1"/>
        <rFont val="Aptos Narrow"/>
        <family val="2"/>
        <scheme val="minor"/>
      </rPr>
      <t xml:space="preserve"> Kilos</t>
    </r>
  </si>
  <si>
    <t>AGOSTO P FRENTE</t>
  </si>
  <si>
    <t>AO3</t>
  </si>
  <si>
    <t>JULHO A SETEMBRO</t>
  </si>
  <si>
    <t>SPIVIT</t>
  </si>
  <si>
    <t>JULHO A DEZEMBRO</t>
  </si>
  <si>
    <t>GF</t>
  </si>
  <si>
    <t>MKT</t>
  </si>
  <si>
    <t>MAIO P FRENTE</t>
  </si>
  <si>
    <t>PANDA VÍDEO</t>
  </si>
  <si>
    <t>PLATAFORMA TI</t>
  </si>
  <si>
    <t>PREÇO SOFT</t>
  </si>
  <si>
    <t>JUNHO A DEZEMBRO</t>
  </si>
  <si>
    <t>UNICODE</t>
  </si>
  <si>
    <t>CESTA BASICA</t>
  </si>
  <si>
    <t>COPA</t>
  </si>
  <si>
    <t>-</t>
  </si>
  <si>
    <t>Dias Perdidos</t>
  </si>
  <si>
    <t>R$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</si>
</sst>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R$&quot;\ #,##0;[Red]\-&quot;R$&quot;\ #,##0"/>
    <numFmt numFmtId="44" formatCode="_-&quot;R$&quot;\ * #,##0.00_-;\-&quot;R$&quot;\ * #,##0.00_-;_-&quot;R$&quot;\ * &quot;-&quot;??_-;_-@_-"/>
    <numFmt numFmtId="164" formatCode="&quot;R$&quot;\ #,##0.00"/>
    <numFmt numFmtId="165" formatCode="dd/mm/yy"/>
    <numFmt numFmtId="166" formatCode="0.0%"/>
    <numFmt numFmtId="167" formatCode="0.000%"/>
    <numFmt numFmtId="168" formatCode="#,##0.00_ ;[Red]\-#,##0.00\ "/>
    <numFmt numFmtId="169" formatCode="#,##0.000"/>
    <numFmt numFmtId="170" formatCode="_-[$R$-416]\ * #,##0.00_-;\-[$R$-416]\ * #,##0.00_-;_-[$R$-416]\ * &quot;-&quot;??_-;_-@_-"/>
    <numFmt numFmtId="171" formatCode="[$R$-416]\ #,##0.00;\-[$R$-416]\ #,##0.00"/>
    <numFmt numFmtId="172" formatCode="#,##0.00000"/>
    <numFmt numFmtId="173" formatCode="0.0000"/>
    <numFmt numFmtId="174" formatCode="0.000"/>
  </numFmts>
  <fonts count="3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6"/>
      <color theme="0"/>
      <name val="Arial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b/>
      <sz val="10"/>
      <color indexed="10"/>
      <name val="Arial"/>
      <family val="2"/>
    </font>
    <font>
      <sz val="10"/>
      <color theme="1"/>
      <name val="Aptos Narrow"/>
      <family val="2"/>
      <scheme val="minor"/>
    </font>
    <font>
      <sz val="10.5"/>
      <color theme="1"/>
      <name val="Segoe UI Emoji"/>
      <family val="2"/>
    </font>
    <font>
      <sz val="10.5"/>
      <color theme="1"/>
      <name val="Segoe UI"/>
      <family val="2"/>
    </font>
    <font>
      <b/>
      <sz val="10.5"/>
      <color theme="1"/>
      <name val="Segoe UI"/>
      <family val="2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Display"/>
      <family val="2"/>
      <scheme val="major"/>
    </font>
    <font>
      <sz val="24"/>
      <color rgb="FFFF000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49"/>
      </patternFill>
    </fill>
    <fill>
      <patternFill patternType="solid">
        <fgColor theme="0"/>
        <bgColor indexed="41"/>
      </patternFill>
    </fill>
    <fill>
      <patternFill patternType="solid">
        <fgColor theme="0" tint="-4.9989318521683403E-2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4"/>
      </patternFill>
    </fill>
    <fill>
      <patternFill patternType="solid">
        <fgColor indexed="27"/>
        <bgColor indexed="4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499984740745262"/>
        <bgColor rgb="FF000000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31" fillId="0" borderId="0" applyNumberFormat="0" applyFill="0" applyBorder="0" applyAlignment="0" applyProtection="0"/>
    <xf numFmtId="44" fontId="7" fillId="0" borderId="0" applyFont="0" applyFill="0" applyBorder="0" applyAlignment="0" applyProtection="0"/>
  </cellStyleXfs>
  <cellXfs count="564">
    <xf numFmtId="0" fontId="0" fillId="0" borderId="0" xfId="0"/>
    <xf numFmtId="0" fontId="4" fillId="0" borderId="0" xfId="0" applyFont="1"/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3" fontId="4" fillId="0" borderId="1" xfId="0" applyNumberFormat="1" applyFont="1" applyBorder="1"/>
    <xf numFmtId="10" fontId="4" fillId="0" borderId="1" xfId="0" applyNumberFormat="1" applyFont="1" applyBorder="1"/>
    <xf numFmtId="0" fontId="0" fillId="0" borderId="2" xfId="0" applyBorder="1" applyAlignment="1">
      <alignment horizontal="left"/>
    </xf>
    <xf numFmtId="164" fontId="0" fillId="0" borderId="3" xfId="0" applyNumberFormat="1" applyBorder="1" applyAlignment="1">
      <alignment horizontal="left"/>
    </xf>
    <xf numFmtId="164" fontId="0" fillId="0" borderId="1" xfId="0" applyNumberFormat="1" applyBorder="1"/>
    <xf numFmtId="164" fontId="2" fillId="0" borderId="3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4" fontId="0" fillId="0" borderId="2" xfId="0" applyNumberFormat="1" applyBorder="1" applyAlignment="1">
      <alignment horizontal="left"/>
    </xf>
    <xf numFmtId="4" fontId="2" fillId="0" borderId="4" xfId="0" applyNumberFormat="1" applyFont="1" applyBorder="1" applyAlignment="1">
      <alignment horizontal="right"/>
    </xf>
    <xf numFmtId="3" fontId="0" fillId="0" borderId="0" xfId="0" applyNumberFormat="1"/>
    <xf numFmtId="2" fontId="0" fillId="0" borderId="0" xfId="0" applyNumberFormat="1"/>
    <xf numFmtId="0" fontId="0" fillId="0" borderId="3" xfId="0" applyBorder="1"/>
    <xf numFmtId="4" fontId="5" fillId="0" borderId="4" xfId="0" applyNumberFormat="1" applyFont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4" fontId="6" fillId="3" borderId="4" xfId="0" applyNumberFormat="1" applyFont="1" applyFill="1" applyBorder="1" applyAlignment="1">
      <alignment horizontal="left"/>
    </xf>
    <xf numFmtId="4" fontId="0" fillId="0" borderId="0" xfId="0" applyNumberFormat="1"/>
    <xf numFmtId="4" fontId="0" fillId="0" borderId="4" xfId="0" applyNumberFormat="1" applyBorder="1" applyAlignment="1">
      <alignment horizontal="left"/>
    </xf>
    <xf numFmtId="4" fontId="2" fillId="0" borderId="4" xfId="0" applyNumberFormat="1" applyFont="1" applyBorder="1" applyAlignment="1">
      <alignment horizontal="left"/>
    </xf>
    <xf numFmtId="0" fontId="0" fillId="0" borderId="4" xfId="0" applyBorder="1"/>
    <xf numFmtId="3" fontId="6" fillId="3" borderId="4" xfId="0" applyNumberFormat="1" applyFont="1" applyFill="1" applyBorder="1" applyAlignment="1">
      <alignment horizontal="left"/>
    </xf>
    <xf numFmtId="9" fontId="0" fillId="0" borderId="0" xfId="1" applyFont="1"/>
    <xf numFmtId="9" fontId="0" fillId="0" borderId="1" xfId="1" applyFont="1" applyBorder="1"/>
    <xf numFmtId="9" fontId="2" fillId="0" borderId="4" xfId="1" applyFont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9" fontId="1" fillId="4" borderId="4" xfId="1" applyFont="1" applyFill="1" applyBorder="1" applyAlignment="1">
      <alignment horizontal="center"/>
    </xf>
    <xf numFmtId="1" fontId="0" fillId="0" borderId="1" xfId="0" applyNumberFormat="1" applyBorder="1"/>
    <xf numFmtId="10" fontId="2" fillId="0" borderId="4" xfId="0" applyNumberFormat="1" applyFont="1" applyBorder="1" applyAlignment="1">
      <alignment horizontal="left"/>
    </xf>
    <xf numFmtId="10" fontId="2" fillId="0" borderId="3" xfId="0" applyNumberFormat="1" applyFont="1" applyBorder="1" applyAlignment="1">
      <alignment horizontal="left"/>
    </xf>
    <xf numFmtId="10" fontId="1" fillId="4" borderId="4" xfId="0" applyNumberFormat="1" applyFont="1" applyFill="1" applyBorder="1" applyAlignment="1">
      <alignment horizontal="left"/>
    </xf>
    <xf numFmtId="3" fontId="1" fillId="4" borderId="4" xfId="1" applyNumberFormat="1" applyFont="1" applyFill="1" applyBorder="1" applyAlignment="1">
      <alignment horizontal="center"/>
    </xf>
    <xf numFmtId="3" fontId="2" fillId="0" borderId="4" xfId="1" applyNumberFormat="1" applyFont="1" applyBorder="1" applyAlignment="1">
      <alignment horizontal="left"/>
    </xf>
    <xf numFmtId="3" fontId="0" fillId="0" borderId="1" xfId="1" applyNumberFormat="1" applyFont="1" applyBorder="1"/>
    <xf numFmtId="1" fontId="1" fillId="4" borderId="4" xfId="1" applyNumberFormat="1" applyFont="1" applyFill="1" applyBorder="1" applyAlignment="1">
      <alignment horizontal="center"/>
    </xf>
    <xf numFmtId="1" fontId="2" fillId="0" borderId="4" xfId="1" applyNumberFormat="1" applyFont="1" applyBorder="1" applyAlignment="1">
      <alignment horizontal="left"/>
    </xf>
    <xf numFmtId="4" fontId="0" fillId="0" borderId="1" xfId="0" applyNumberFormat="1" applyBorder="1"/>
    <xf numFmtId="0" fontId="0" fillId="0" borderId="11" xfId="0" applyBorder="1"/>
    <xf numFmtId="0" fontId="0" fillId="0" borderId="14" xfId="0" applyBorder="1"/>
    <xf numFmtId="0" fontId="9" fillId="7" borderId="17" xfId="0" applyFont="1" applyFill="1" applyBorder="1" applyAlignment="1">
      <alignment vertical="center"/>
    </xf>
    <xf numFmtId="0" fontId="9" fillId="7" borderId="18" xfId="0" applyFont="1" applyFill="1" applyBorder="1" applyAlignment="1">
      <alignment vertical="center"/>
    </xf>
    <xf numFmtId="0" fontId="9" fillId="7" borderId="19" xfId="0" applyFont="1" applyFill="1" applyBorder="1" applyAlignment="1">
      <alignment vertical="center"/>
    </xf>
    <xf numFmtId="0" fontId="0" fillId="0" borderId="14" xfId="0" applyBorder="1" applyAlignment="1">
      <alignment vertical="top"/>
    </xf>
    <xf numFmtId="0" fontId="9" fillId="7" borderId="23" xfId="0" applyFont="1" applyFill="1" applyBorder="1" applyAlignment="1">
      <alignment vertical="top"/>
    </xf>
    <xf numFmtId="0" fontId="9" fillId="7" borderId="25" xfId="0" applyFont="1" applyFill="1" applyBorder="1" applyAlignment="1">
      <alignment vertical="top"/>
    </xf>
    <xf numFmtId="0" fontId="9" fillId="7" borderId="26" xfId="0" applyFont="1" applyFill="1" applyBorder="1" applyAlignment="1">
      <alignment vertical="top"/>
    </xf>
    <xf numFmtId="0" fontId="9" fillId="7" borderId="27" xfId="0" applyFont="1" applyFill="1" applyBorder="1" applyAlignment="1">
      <alignment vertical="top"/>
    </xf>
    <xf numFmtId="0" fontId="0" fillId="0" borderId="28" xfId="0" applyBorder="1" applyAlignment="1">
      <alignment vertical="top"/>
    </xf>
    <xf numFmtId="0" fontId="9" fillId="9" borderId="30" xfId="0" applyFont="1" applyFill="1" applyBorder="1" applyAlignment="1">
      <alignment vertical="center"/>
    </xf>
    <xf numFmtId="0" fontId="10" fillId="2" borderId="32" xfId="0" applyFont="1" applyFill="1" applyBorder="1" applyAlignment="1">
      <alignment vertical="center" wrapText="1"/>
    </xf>
    <xf numFmtId="0" fontId="9" fillId="0" borderId="33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165" fontId="10" fillId="0" borderId="16" xfId="0" applyNumberFormat="1" applyFont="1" applyBorder="1" applyAlignment="1">
      <alignment horizontal="center" vertical="center" wrapText="1"/>
    </xf>
    <xf numFmtId="0" fontId="11" fillId="2" borderId="34" xfId="0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 vertical="center" wrapText="1"/>
    </xf>
    <xf numFmtId="0" fontId="10" fillId="2" borderId="35" xfId="0" applyFont="1" applyFill="1" applyBorder="1" applyAlignment="1">
      <alignment vertical="center" wrapText="1"/>
    </xf>
    <xf numFmtId="44" fontId="10" fillId="0" borderId="16" xfId="2" applyFont="1" applyBorder="1" applyAlignment="1">
      <alignment horizontal="center" vertical="center" wrapText="1"/>
    </xf>
    <xf numFmtId="0" fontId="10" fillId="0" borderId="16" xfId="0" applyFont="1" applyBorder="1" applyAlignment="1">
      <alignment horizontal="left" wrapText="1"/>
    </xf>
    <xf numFmtId="165" fontId="10" fillId="0" borderId="16" xfId="0" applyNumberFormat="1" applyFont="1" applyBorder="1" applyAlignment="1">
      <alignment horizontal="left" wrapText="1"/>
    </xf>
    <xf numFmtId="0" fontId="10" fillId="0" borderId="16" xfId="0" applyFont="1" applyBorder="1" applyAlignment="1">
      <alignment wrapText="1"/>
    </xf>
    <xf numFmtId="0" fontId="10" fillId="2" borderId="36" xfId="0" applyFont="1" applyFill="1" applyBorder="1" applyAlignment="1">
      <alignment vertical="center" wrapText="1"/>
    </xf>
    <xf numFmtId="0" fontId="9" fillId="0" borderId="27" xfId="0" applyFont="1" applyBorder="1" applyAlignment="1">
      <alignment horizontal="center" vertical="center"/>
    </xf>
    <xf numFmtId="0" fontId="10" fillId="0" borderId="37" xfId="0" applyFont="1" applyBorder="1" applyAlignment="1">
      <alignment horizontal="left" wrapText="1"/>
    </xf>
    <xf numFmtId="165" fontId="10" fillId="0" borderId="37" xfId="0" applyNumberFormat="1" applyFont="1" applyBorder="1" applyAlignment="1">
      <alignment horizontal="left" wrapText="1"/>
    </xf>
    <xf numFmtId="44" fontId="10" fillId="0" borderId="37" xfId="2" applyFont="1" applyBorder="1" applyAlignment="1">
      <alignment wrapText="1"/>
    </xf>
    <xf numFmtId="0" fontId="11" fillId="2" borderId="38" xfId="0" applyFont="1" applyFill="1" applyBorder="1" applyAlignment="1">
      <alignment horizontal="center" vertical="center" wrapText="1"/>
    </xf>
    <xf numFmtId="0" fontId="10" fillId="2" borderId="39" xfId="0" applyFont="1" applyFill="1" applyBorder="1" applyAlignment="1">
      <alignment wrapText="1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center"/>
    </xf>
    <xf numFmtId="0" fontId="0" fillId="2" borderId="14" xfId="0" applyFill="1" applyBorder="1"/>
    <xf numFmtId="0" fontId="0" fillId="0" borderId="28" xfId="0" applyBorder="1"/>
    <xf numFmtId="0" fontId="9" fillId="9" borderId="30" xfId="0" applyFont="1" applyFill="1" applyBorder="1" applyAlignment="1">
      <alignment vertical="center" wrapText="1"/>
    </xf>
    <xf numFmtId="0" fontId="9" fillId="8" borderId="29" xfId="0" applyFont="1" applyFill="1" applyBorder="1" applyAlignment="1">
      <alignment vertical="center"/>
    </xf>
    <xf numFmtId="0" fontId="9" fillId="8" borderId="30" xfId="0" applyFont="1" applyFill="1" applyBorder="1" applyAlignment="1">
      <alignment vertical="center"/>
    </xf>
    <xf numFmtId="0" fontId="9" fillId="9" borderId="31" xfId="0" applyFont="1" applyFill="1" applyBorder="1" applyAlignment="1">
      <alignment vertical="center"/>
    </xf>
    <xf numFmtId="166" fontId="0" fillId="0" borderId="1" xfId="1" applyNumberFormat="1" applyFont="1" applyBorder="1"/>
    <xf numFmtId="10" fontId="0" fillId="0" borderId="0" xfId="1" applyNumberFormat="1" applyFont="1"/>
    <xf numFmtId="167" fontId="0" fillId="0" borderId="1" xfId="1" applyNumberFormat="1" applyFont="1" applyBorder="1"/>
    <xf numFmtId="9" fontId="0" fillId="0" borderId="4" xfId="1" applyFont="1" applyBorder="1" applyAlignment="1">
      <alignment horizontal="right"/>
    </xf>
    <xf numFmtId="1" fontId="0" fillId="0" borderId="4" xfId="1" applyNumberFormat="1" applyFont="1" applyBorder="1" applyAlignment="1">
      <alignment horizontal="right"/>
    </xf>
    <xf numFmtId="3" fontId="0" fillId="0" borderId="4" xfId="0" applyNumberForma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1" fontId="2" fillId="0" borderId="4" xfId="1" applyNumberFormat="1" applyFont="1" applyBorder="1" applyAlignment="1">
      <alignment horizontal="right"/>
    </xf>
    <xf numFmtId="3" fontId="15" fillId="0" borderId="4" xfId="0" applyNumberFormat="1" applyFont="1" applyBorder="1" applyAlignment="1">
      <alignment horizontal="left"/>
    </xf>
    <xf numFmtId="3" fontId="15" fillId="0" borderId="1" xfId="0" applyNumberFormat="1" applyFont="1" applyBorder="1"/>
    <xf numFmtId="3" fontId="5" fillId="0" borderId="4" xfId="0" applyNumberFormat="1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42" xfId="0" applyBorder="1"/>
    <xf numFmtId="9" fontId="0" fillId="0" borderId="42" xfId="1" applyFont="1" applyBorder="1"/>
    <xf numFmtId="0" fontId="0" fillId="0" borderId="3" xfId="0" applyBorder="1" applyAlignment="1">
      <alignment horizontal="left"/>
    </xf>
    <xf numFmtId="4" fontId="0" fillId="3" borderId="4" xfId="0" applyNumberFormat="1" applyFill="1" applyBorder="1" applyAlignment="1">
      <alignment horizontal="right"/>
    </xf>
    <xf numFmtId="4" fontId="1" fillId="3" borderId="4" xfId="0" applyNumberFormat="1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4" fontId="0" fillId="3" borderId="4" xfId="0" applyNumberFormat="1" applyFill="1" applyBorder="1" applyAlignment="1">
      <alignment horizontal="left"/>
    </xf>
    <xf numFmtId="0" fontId="16" fillId="0" borderId="0" xfId="0" applyFont="1" applyAlignment="1">
      <alignment vertical="center"/>
    </xf>
    <xf numFmtId="10" fontId="1" fillId="4" borderId="4" xfId="1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1" fontId="6" fillId="4" borderId="4" xfId="0" applyNumberFormat="1" applyFont="1" applyFill="1" applyBorder="1" applyAlignment="1">
      <alignment horizontal="center"/>
    </xf>
    <xf numFmtId="1" fontId="5" fillId="2" borderId="4" xfId="0" applyNumberFormat="1" applyFont="1" applyFill="1" applyBorder="1" applyAlignment="1">
      <alignment horizontal="center"/>
    </xf>
    <xf numFmtId="1" fontId="5" fillId="2" borderId="3" xfId="0" applyNumberFormat="1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6" fillId="11" borderId="1" xfId="0" applyFont="1" applyFill="1" applyBorder="1" applyAlignment="1">
      <alignment horizontal="center"/>
    </xf>
    <xf numFmtId="2" fontId="1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10" fontId="15" fillId="0" borderId="1" xfId="1" applyNumberFormat="1" applyFont="1" applyBorder="1" applyAlignment="1">
      <alignment horizontal="center"/>
    </xf>
    <xf numFmtId="10" fontId="6" fillId="8" borderId="1" xfId="1" applyNumberFormat="1" applyFont="1" applyFill="1" applyBorder="1" applyAlignment="1">
      <alignment horizontal="center"/>
    </xf>
    <xf numFmtId="166" fontId="6" fillId="4" borderId="4" xfId="0" applyNumberFormat="1" applyFont="1" applyFill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" fontId="0" fillId="0" borderId="0" xfId="0" applyNumberFormat="1"/>
    <xf numFmtId="2" fontId="15" fillId="3" borderId="0" xfId="0" applyNumberFormat="1" applyFont="1" applyFill="1" applyAlignment="1">
      <alignment horizontal="right"/>
    </xf>
    <xf numFmtId="0" fontId="15" fillId="4" borderId="1" xfId="0" applyFont="1" applyFill="1" applyBorder="1" applyAlignment="1">
      <alignment horizontal="center"/>
    </xf>
    <xf numFmtId="2" fontId="15" fillId="4" borderId="1" xfId="0" applyNumberFormat="1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4" fontId="15" fillId="0" borderId="1" xfId="0" applyNumberFormat="1" applyFont="1" applyBorder="1" applyAlignment="1">
      <alignment horizontal="center"/>
    </xf>
    <xf numFmtId="10" fontId="0" fillId="0" borderId="1" xfId="1" applyNumberFormat="1" applyFont="1" applyBorder="1"/>
    <xf numFmtId="0" fontId="0" fillId="0" borderId="5" xfId="0" applyBorder="1" applyAlignment="1">
      <alignment horizontal="left"/>
    </xf>
    <xf numFmtId="4" fontId="19" fillId="0" borderId="1" xfId="0" applyNumberFormat="1" applyFont="1" applyBorder="1" applyAlignment="1">
      <alignment horizontal="left"/>
    </xf>
    <xf numFmtId="0" fontId="20" fillId="0" borderId="1" xfId="0" applyFont="1" applyBorder="1"/>
    <xf numFmtId="4" fontId="19" fillId="0" borderId="1" xfId="0" applyNumberFormat="1" applyFont="1" applyBorder="1" applyAlignment="1">
      <alignment horizontal="center"/>
    </xf>
    <xf numFmtId="4" fontId="20" fillId="0" borderId="1" xfId="0" applyNumberFormat="1" applyFont="1" applyBorder="1" applyAlignment="1">
      <alignment horizontal="left"/>
    </xf>
    <xf numFmtId="4" fontId="20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4" fontId="0" fillId="0" borderId="1" xfId="0" applyNumberFormat="1" applyBorder="1" applyAlignment="1">
      <alignment horizontal="left"/>
    </xf>
    <xf numFmtId="4" fontId="20" fillId="0" borderId="1" xfId="0" applyNumberFormat="1" applyFont="1" applyBorder="1"/>
    <xf numFmtId="0" fontId="9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0" fillId="3" borderId="0" xfId="0" applyFill="1"/>
    <xf numFmtId="4" fontId="1" fillId="0" borderId="1" xfId="0" applyNumberFormat="1" applyFont="1" applyBorder="1"/>
    <xf numFmtId="3" fontId="1" fillId="0" borderId="1" xfId="0" applyNumberFormat="1" applyFont="1" applyBorder="1"/>
    <xf numFmtId="2" fontId="1" fillId="0" borderId="1" xfId="0" applyNumberFormat="1" applyFont="1" applyBorder="1"/>
    <xf numFmtId="4" fontId="6" fillId="2" borderId="4" xfId="0" applyNumberFormat="1" applyFont="1" applyFill="1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center"/>
    </xf>
    <xf numFmtId="3" fontId="0" fillId="2" borderId="1" xfId="0" applyNumberFormat="1" applyFill="1" applyBorder="1"/>
    <xf numFmtId="0" fontId="4" fillId="2" borderId="0" xfId="0" applyFont="1" applyFill="1"/>
    <xf numFmtId="3" fontId="0" fillId="0" borderId="1" xfId="0" applyNumberFormat="1" applyBorder="1" applyAlignment="1">
      <alignment horizontal="center"/>
    </xf>
    <xf numFmtId="4" fontId="0" fillId="2" borderId="0" xfId="0" applyNumberFormat="1" applyFill="1"/>
    <xf numFmtId="3" fontId="0" fillId="2" borderId="0" xfId="0" applyNumberFormat="1" applyFill="1"/>
    <xf numFmtId="4" fontId="0" fillId="2" borderId="1" xfId="0" applyNumberFormat="1" applyFill="1" applyBorder="1"/>
    <xf numFmtId="0" fontId="15" fillId="0" borderId="2" xfId="0" applyFont="1" applyBorder="1" applyAlignment="1">
      <alignment horizontal="center"/>
    </xf>
    <xf numFmtId="1" fontId="15" fillId="0" borderId="4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" fontId="4" fillId="0" borderId="1" xfId="0" applyNumberFormat="1" applyFont="1" applyBorder="1"/>
    <xf numFmtId="0" fontId="24" fillId="2" borderId="10" xfId="0" applyFont="1" applyFill="1" applyBorder="1"/>
    <xf numFmtId="9" fontId="25" fillId="2" borderId="10" xfId="0" applyNumberFormat="1" applyFont="1" applyFill="1" applyBorder="1" applyAlignment="1">
      <alignment horizontal="center"/>
    </xf>
    <xf numFmtId="0" fontId="26" fillId="14" borderId="10" xfId="0" applyFont="1" applyFill="1" applyBorder="1"/>
    <xf numFmtId="0" fontId="26" fillId="14" borderId="11" xfId="0" applyFont="1" applyFill="1" applyBorder="1"/>
    <xf numFmtId="0" fontId="26" fillId="0" borderId="3" xfId="0" applyFont="1" applyBorder="1"/>
    <xf numFmtId="0" fontId="26" fillId="0" borderId="1" xfId="0" applyFont="1" applyBorder="1"/>
    <xf numFmtId="0" fontId="26" fillId="0" borderId="48" xfId="0" applyFont="1" applyBorder="1"/>
    <xf numFmtId="0" fontId="26" fillId="14" borderId="25" xfId="0" applyFont="1" applyFill="1" applyBorder="1"/>
    <xf numFmtId="2" fontId="24" fillId="14" borderId="49" xfId="0" applyNumberFormat="1" applyFont="1" applyFill="1" applyBorder="1" applyAlignment="1">
      <alignment horizontal="center"/>
    </xf>
    <xf numFmtId="10" fontId="0" fillId="0" borderId="0" xfId="0" applyNumberFormat="1"/>
    <xf numFmtId="0" fontId="25" fillId="2" borderId="10" xfId="0" applyFont="1" applyFill="1" applyBorder="1"/>
    <xf numFmtId="4" fontId="25" fillId="2" borderId="10" xfId="0" applyNumberFormat="1" applyFont="1" applyFill="1" applyBorder="1" applyAlignment="1">
      <alignment horizontal="center"/>
    </xf>
    <xf numFmtId="0" fontId="26" fillId="15" borderId="25" xfId="0" applyFont="1" applyFill="1" applyBorder="1"/>
    <xf numFmtId="4" fontId="24" fillId="15" borderId="49" xfId="0" applyNumberFormat="1" applyFont="1" applyFill="1" applyBorder="1"/>
    <xf numFmtId="3" fontId="24" fillId="15" borderId="49" xfId="0" applyNumberFormat="1" applyFont="1" applyFill="1" applyBorder="1"/>
    <xf numFmtId="3" fontId="25" fillId="2" borderId="10" xfId="0" applyNumberFormat="1" applyFont="1" applyFill="1" applyBorder="1" applyAlignment="1">
      <alignment horizontal="center"/>
    </xf>
    <xf numFmtId="0" fontId="0" fillId="14" borderId="10" xfId="0" applyFill="1" applyBorder="1"/>
    <xf numFmtId="0" fontId="0" fillId="14" borderId="11" xfId="0" applyFill="1" applyBorder="1"/>
    <xf numFmtId="3" fontId="24" fillId="15" borderId="49" xfId="0" applyNumberFormat="1" applyFont="1" applyFill="1" applyBorder="1" applyAlignment="1">
      <alignment horizontal="center"/>
    </xf>
    <xf numFmtId="0" fontId="25" fillId="2" borderId="10" xfId="0" applyFont="1" applyFill="1" applyBorder="1" applyAlignment="1">
      <alignment horizontal="center"/>
    </xf>
    <xf numFmtId="0" fontId="24" fillId="15" borderId="25" xfId="0" applyFont="1" applyFill="1" applyBorder="1"/>
    <xf numFmtId="4" fontId="24" fillId="15" borderId="49" xfId="0" applyNumberFormat="1" applyFont="1" applyFill="1" applyBorder="1" applyAlignment="1">
      <alignment horizontal="center"/>
    </xf>
    <xf numFmtId="4" fontId="24" fillId="15" borderId="51" xfId="0" applyNumberFormat="1" applyFont="1" applyFill="1" applyBorder="1" applyAlignment="1">
      <alignment horizontal="center"/>
    </xf>
    <xf numFmtId="0" fontId="0" fillId="13" borderId="0" xfId="0" applyFill="1"/>
    <xf numFmtId="0" fontId="1" fillId="2" borderId="10" xfId="0" applyFont="1" applyFill="1" applyBorder="1" applyAlignment="1">
      <alignment horizontal="center"/>
    </xf>
    <xf numFmtId="0" fontId="0" fillId="16" borderId="10" xfId="0" applyFill="1" applyBorder="1"/>
    <xf numFmtId="0" fontId="0" fillId="16" borderId="11" xfId="0" applyFill="1" applyBorder="1"/>
    <xf numFmtId="0" fontId="26" fillId="17" borderId="25" xfId="0" applyFont="1" applyFill="1" applyBorder="1"/>
    <xf numFmtId="2" fontId="26" fillId="17" borderId="49" xfId="0" applyNumberFormat="1" applyFont="1" applyFill="1" applyBorder="1" applyAlignment="1">
      <alignment horizontal="center"/>
    </xf>
    <xf numFmtId="9" fontId="26" fillId="17" borderId="49" xfId="0" applyNumberFormat="1" applyFont="1" applyFill="1" applyBorder="1" applyAlignment="1">
      <alignment horizontal="center"/>
    </xf>
    <xf numFmtId="0" fontId="26" fillId="18" borderId="0" xfId="0" applyFont="1" applyFill="1"/>
    <xf numFmtId="0" fontId="0" fillId="2" borderId="0" xfId="0" applyFill="1"/>
    <xf numFmtId="0" fontId="24" fillId="8" borderId="10" xfId="0" applyFont="1" applyFill="1" applyBorder="1"/>
    <xf numFmtId="0" fontId="1" fillId="16" borderId="10" xfId="0" applyFont="1" applyFill="1" applyBorder="1" applyAlignment="1">
      <alignment horizontal="center"/>
    </xf>
    <xf numFmtId="0" fontId="26" fillId="17" borderId="49" xfId="0" applyFont="1" applyFill="1" applyBorder="1"/>
    <xf numFmtId="0" fontId="26" fillId="17" borderId="51" xfId="0" applyFont="1" applyFill="1" applyBorder="1"/>
    <xf numFmtId="4" fontId="1" fillId="2" borderId="10" xfId="0" applyNumberFormat="1" applyFont="1" applyFill="1" applyBorder="1" applyAlignment="1">
      <alignment horizontal="center"/>
    </xf>
    <xf numFmtId="0" fontId="24" fillId="17" borderId="25" xfId="0" applyFont="1" applyFill="1" applyBorder="1"/>
    <xf numFmtId="3" fontId="24" fillId="17" borderId="49" xfId="0" applyNumberFormat="1" applyFont="1" applyFill="1" applyBorder="1"/>
    <xf numFmtId="0" fontId="1" fillId="13" borderId="0" xfId="0" applyFont="1" applyFill="1"/>
    <xf numFmtId="2" fontId="1" fillId="13" borderId="0" xfId="0" applyNumberFormat="1" applyFont="1" applyFill="1"/>
    <xf numFmtId="2" fontId="0" fillId="13" borderId="0" xfId="0" applyNumberFormat="1" applyFill="1"/>
    <xf numFmtId="0" fontId="0" fillId="19" borderId="10" xfId="0" applyFill="1" applyBorder="1"/>
    <xf numFmtId="0" fontId="0" fillId="19" borderId="11" xfId="0" applyFill="1" applyBorder="1"/>
    <xf numFmtId="0" fontId="26" fillId="0" borderId="0" xfId="0" applyFont="1" applyAlignment="1">
      <alignment horizontal="right"/>
    </xf>
    <xf numFmtId="0" fontId="26" fillId="20" borderId="25" xfId="0" applyFont="1" applyFill="1" applyBorder="1"/>
    <xf numFmtId="0" fontId="26" fillId="20" borderId="49" xfId="0" applyFont="1" applyFill="1" applyBorder="1"/>
    <xf numFmtId="0" fontId="26" fillId="20" borderId="51" xfId="0" applyFont="1" applyFill="1" applyBorder="1"/>
    <xf numFmtId="0" fontId="0" fillId="0" borderId="0" xfId="0" applyAlignment="1">
      <alignment horizontal="right"/>
    </xf>
    <xf numFmtId="0" fontId="0" fillId="8" borderId="0" xfId="0" applyFill="1"/>
    <xf numFmtId="0" fontId="1" fillId="3" borderId="0" xfId="0" applyFont="1" applyFill="1"/>
    <xf numFmtId="0" fontId="0" fillId="4" borderId="10" xfId="0" applyFill="1" applyBorder="1"/>
    <xf numFmtId="0" fontId="0" fillId="4" borderId="11" xfId="0" applyFill="1" applyBorder="1"/>
    <xf numFmtId="0" fontId="26" fillId="21" borderId="25" xfId="0" applyFont="1" applyFill="1" applyBorder="1"/>
    <xf numFmtId="3" fontId="26" fillId="21" borderId="49" xfId="0" applyNumberFormat="1" applyFont="1" applyFill="1" applyBorder="1" applyAlignment="1">
      <alignment horizontal="center"/>
    </xf>
    <xf numFmtId="0" fontId="26" fillId="21" borderId="49" xfId="0" applyFont="1" applyFill="1" applyBorder="1" applyAlignment="1">
      <alignment horizontal="center"/>
    </xf>
    <xf numFmtId="0" fontId="26" fillId="21" borderId="51" xfId="0" applyFont="1" applyFill="1" applyBorder="1" applyAlignment="1">
      <alignment horizontal="center"/>
    </xf>
    <xf numFmtId="3" fontId="1" fillId="2" borderId="10" xfId="0" applyNumberFormat="1" applyFont="1" applyFill="1" applyBorder="1" applyAlignment="1">
      <alignment horizontal="center"/>
    </xf>
    <xf numFmtId="0" fontId="0" fillId="22" borderId="10" xfId="0" applyFill="1" applyBorder="1"/>
    <xf numFmtId="0" fontId="0" fillId="22" borderId="11" xfId="0" applyFill="1" applyBorder="1"/>
    <xf numFmtId="0" fontId="26" fillId="23" borderId="25" xfId="0" applyFont="1" applyFill="1" applyBorder="1"/>
    <xf numFmtId="0" fontId="26" fillId="23" borderId="49" xfId="0" applyFont="1" applyFill="1" applyBorder="1" applyAlignment="1">
      <alignment horizontal="center"/>
    </xf>
    <xf numFmtId="0" fontId="26" fillId="23" borderId="51" xfId="0" applyFont="1" applyFill="1" applyBorder="1" applyAlignment="1">
      <alignment horizontal="center"/>
    </xf>
    <xf numFmtId="0" fontId="1" fillId="0" borderId="0" xfId="0" applyFont="1"/>
    <xf numFmtId="168" fontId="1" fillId="2" borderId="10" xfId="0" applyNumberFormat="1" applyFont="1" applyFill="1" applyBorder="1" applyAlignment="1">
      <alignment horizontal="center"/>
    </xf>
    <xf numFmtId="164" fontId="26" fillId="23" borderId="49" xfId="0" applyNumberFormat="1" applyFont="1" applyFill="1" applyBorder="1" applyAlignment="1">
      <alignment horizontal="center"/>
    </xf>
    <xf numFmtId="164" fontId="26" fillId="23" borderId="51" xfId="0" applyNumberFormat="1" applyFont="1" applyFill="1" applyBorder="1" applyAlignment="1">
      <alignment horizontal="center"/>
    </xf>
    <xf numFmtId="164" fontId="0" fillId="0" borderId="0" xfId="0" applyNumberFormat="1"/>
    <xf numFmtId="0" fontId="0" fillId="24" borderId="10" xfId="0" applyFill="1" applyBorder="1"/>
    <xf numFmtId="0" fontId="0" fillId="24" borderId="11" xfId="0" applyFill="1" applyBorder="1"/>
    <xf numFmtId="0" fontId="26" fillId="2" borderId="3" xfId="0" applyFont="1" applyFill="1" applyBorder="1"/>
    <xf numFmtId="0" fontId="26" fillId="0" borderId="1" xfId="0" applyFont="1" applyBorder="1" applyAlignment="1">
      <alignment horizontal="center"/>
    </xf>
    <xf numFmtId="0" fontId="26" fillId="25" borderId="25" xfId="0" applyFont="1" applyFill="1" applyBorder="1"/>
    <xf numFmtId="0" fontId="26" fillId="25" borderId="49" xfId="0" applyFont="1" applyFill="1" applyBorder="1"/>
    <xf numFmtId="0" fontId="26" fillId="25" borderId="51" xfId="0" applyFont="1" applyFill="1" applyBorder="1"/>
    <xf numFmtId="0" fontId="0" fillId="26" borderId="10" xfId="0" applyFill="1" applyBorder="1"/>
    <xf numFmtId="0" fontId="0" fillId="26" borderId="11" xfId="0" applyFill="1" applyBorder="1"/>
    <xf numFmtId="0" fontId="26" fillId="27" borderId="25" xfId="0" applyFont="1" applyFill="1" applyBorder="1"/>
    <xf numFmtId="0" fontId="26" fillId="27" borderId="49" xfId="0" applyFont="1" applyFill="1" applyBorder="1"/>
    <xf numFmtId="0" fontId="26" fillId="27" borderId="51" xfId="0" applyFont="1" applyFill="1" applyBorder="1"/>
    <xf numFmtId="2" fontId="26" fillId="27" borderId="49" xfId="0" applyNumberFormat="1" applyFont="1" applyFill="1" applyBorder="1"/>
    <xf numFmtId="3" fontId="26" fillId="18" borderId="0" xfId="0" applyNumberFormat="1" applyFont="1" applyFill="1" applyAlignment="1">
      <alignment horizontal="center"/>
    </xf>
    <xf numFmtId="3" fontId="26" fillId="18" borderId="0" xfId="0" applyNumberFormat="1" applyFont="1" applyFill="1"/>
    <xf numFmtId="0" fontId="26" fillId="18" borderId="14" xfId="0" applyFont="1" applyFill="1" applyBorder="1"/>
    <xf numFmtId="0" fontId="0" fillId="28" borderId="10" xfId="0" applyFill="1" applyBorder="1"/>
    <xf numFmtId="0" fontId="0" fillId="28" borderId="11" xfId="0" applyFill="1" applyBorder="1"/>
    <xf numFmtId="0" fontId="26" fillId="29" borderId="25" xfId="0" applyFont="1" applyFill="1" applyBorder="1"/>
    <xf numFmtId="0" fontId="26" fillId="29" borderId="49" xfId="0" applyFont="1" applyFill="1" applyBorder="1"/>
    <xf numFmtId="0" fontId="26" fillId="29" borderId="51" xfId="0" applyFont="1" applyFill="1" applyBorder="1"/>
    <xf numFmtId="3" fontId="26" fillId="29" borderId="49" xfId="0" applyNumberFormat="1" applyFont="1" applyFill="1" applyBorder="1"/>
    <xf numFmtId="0" fontId="0" fillId="2" borderId="10" xfId="0" applyFill="1" applyBorder="1"/>
    <xf numFmtId="0" fontId="0" fillId="30" borderId="10" xfId="0" applyFill="1" applyBorder="1"/>
    <xf numFmtId="0" fontId="0" fillId="30" borderId="11" xfId="0" applyFill="1" applyBorder="1"/>
    <xf numFmtId="0" fontId="26" fillId="31" borderId="25" xfId="0" applyFont="1" applyFill="1" applyBorder="1"/>
    <xf numFmtId="0" fontId="26" fillId="31" borderId="49" xfId="0" applyFont="1" applyFill="1" applyBorder="1"/>
    <xf numFmtId="0" fontId="26" fillId="31" borderId="51" xfId="0" applyFont="1" applyFill="1" applyBorder="1"/>
    <xf numFmtId="0" fontId="0" fillId="8" borderId="10" xfId="0" applyFill="1" applyBorder="1"/>
    <xf numFmtId="0" fontId="0" fillId="8" borderId="11" xfId="0" applyFill="1" applyBorder="1"/>
    <xf numFmtId="0" fontId="26" fillId="32" borderId="25" xfId="0" applyFont="1" applyFill="1" applyBorder="1"/>
    <xf numFmtId="0" fontId="26" fillId="32" borderId="49" xfId="0" applyFont="1" applyFill="1" applyBorder="1"/>
    <xf numFmtId="0" fontId="26" fillId="32" borderId="51" xfId="0" applyFont="1" applyFill="1" applyBorder="1"/>
    <xf numFmtId="0" fontId="24" fillId="33" borderId="52" xfId="0" applyFont="1" applyFill="1" applyBorder="1"/>
    <xf numFmtId="0" fontId="26" fillId="33" borderId="6" xfId="0" applyFont="1" applyFill="1" applyBorder="1"/>
    <xf numFmtId="0" fontId="26" fillId="33" borderId="53" xfId="0" applyFont="1" applyFill="1" applyBorder="1"/>
    <xf numFmtId="0" fontId="24" fillId="0" borderId="54" xfId="0" applyFont="1" applyBorder="1"/>
    <xf numFmtId="0" fontId="26" fillId="0" borderId="6" xfId="0" applyFont="1" applyBorder="1"/>
    <xf numFmtId="0" fontId="26" fillId="0" borderId="53" xfId="0" applyFont="1" applyBorder="1"/>
    <xf numFmtId="0" fontId="24" fillId="34" borderId="35" xfId="0" applyFont="1" applyFill="1" applyBorder="1"/>
    <xf numFmtId="0" fontId="26" fillId="34" borderId="1" xfId="0" applyFont="1" applyFill="1" applyBorder="1"/>
    <xf numFmtId="0" fontId="26" fillId="34" borderId="48" xfId="0" applyFont="1" applyFill="1" applyBorder="1"/>
    <xf numFmtId="0" fontId="24" fillId="18" borderId="55" xfId="0" applyFont="1" applyFill="1" applyBorder="1"/>
    <xf numFmtId="0" fontId="26" fillId="18" borderId="8" xfId="0" applyFont="1" applyFill="1" applyBorder="1"/>
    <xf numFmtId="0" fontId="26" fillId="18" borderId="56" xfId="0" applyFont="1" applyFill="1" applyBorder="1"/>
    <xf numFmtId="0" fontId="26" fillId="18" borderId="36" xfId="0" applyFont="1" applyFill="1" applyBorder="1"/>
    <xf numFmtId="0" fontId="26" fillId="18" borderId="49" xfId="0" applyFont="1" applyFill="1" applyBorder="1"/>
    <xf numFmtId="0" fontId="26" fillId="18" borderId="51" xfId="0" applyFont="1" applyFill="1" applyBorder="1"/>
    <xf numFmtId="0" fontId="24" fillId="33" borderId="57" xfId="0" applyFont="1" applyFill="1" applyBorder="1"/>
    <xf numFmtId="0" fontId="24" fillId="0" borderId="58" xfId="0" applyFont="1" applyBorder="1"/>
    <xf numFmtId="0" fontId="24" fillId="34" borderId="25" xfId="0" applyFont="1" applyFill="1" applyBorder="1"/>
    <xf numFmtId="0" fontId="26" fillId="34" borderId="49" xfId="0" applyFont="1" applyFill="1" applyBorder="1"/>
    <xf numFmtId="0" fontId="26" fillId="34" borderId="51" xfId="0" applyFont="1" applyFill="1" applyBorder="1"/>
    <xf numFmtId="0" fontId="24" fillId="33" borderId="58" xfId="0" applyFont="1" applyFill="1" applyBorder="1"/>
    <xf numFmtId="0" fontId="26" fillId="34" borderId="25" xfId="0" applyFont="1" applyFill="1" applyBorder="1"/>
    <xf numFmtId="0" fontId="0" fillId="0" borderId="3" xfId="0" applyBorder="1" applyAlignment="1">
      <alignment horizontal="center"/>
    </xf>
    <xf numFmtId="169" fontId="0" fillId="0" borderId="1" xfId="0" applyNumberFormat="1" applyBorder="1"/>
    <xf numFmtId="2" fontId="24" fillId="34" borderId="1" xfId="0" applyNumberFormat="1" applyFont="1" applyFill="1" applyBorder="1"/>
    <xf numFmtId="2" fontId="24" fillId="33" borderId="6" xfId="0" applyNumberFormat="1" applyFont="1" applyFill="1" applyBorder="1"/>
    <xf numFmtId="2" fontId="26" fillId="0" borderId="6" xfId="0" applyNumberFormat="1" applyFont="1" applyBorder="1"/>
    <xf numFmtId="2" fontId="24" fillId="18" borderId="8" xfId="0" applyNumberFormat="1" applyFont="1" applyFill="1" applyBorder="1"/>
    <xf numFmtId="10" fontId="24" fillId="33" borderId="6" xfId="0" applyNumberFormat="1" applyFont="1" applyFill="1" applyBorder="1"/>
    <xf numFmtId="2" fontId="24" fillId="0" borderId="6" xfId="0" applyNumberFormat="1" applyFont="1" applyBorder="1"/>
    <xf numFmtId="0" fontId="6" fillId="4" borderId="4" xfId="0" applyFont="1" applyFill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24" fillId="18" borderId="25" xfId="0" applyFont="1" applyFill="1" applyBorder="1" applyAlignment="1">
      <alignment horizontal="left"/>
    </xf>
    <xf numFmtId="2" fontId="26" fillId="17" borderId="49" xfId="0" applyNumberFormat="1" applyFont="1" applyFill="1" applyBorder="1"/>
    <xf numFmtId="167" fontId="0" fillId="0" borderId="0" xfId="1" applyNumberFormat="1" applyFont="1"/>
    <xf numFmtId="4" fontId="26" fillId="23" borderId="49" xfId="0" applyNumberFormat="1" applyFont="1" applyFill="1" applyBorder="1" applyAlignment="1">
      <alignment horizontal="center"/>
    </xf>
    <xf numFmtId="4" fontId="26" fillId="23" borderId="51" xfId="0" applyNumberFormat="1" applyFont="1" applyFill="1" applyBorder="1" applyAlignment="1">
      <alignment horizontal="center"/>
    </xf>
    <xf numFmtId="164" fontId="24" fillId="23" borderId="49" xfId="0" applyNumberFormat="1" applyFont="1" applyFill="1" applyBorder="1" applyAlignment="1">
      <alignment horizontal="center"/>
    </xf>
    <xf numFmtId="10" fontId="24" fillId="23" borderId="49" xfId="0" applyNumberFormat="1" applyFont="1" applyFill="1" applyBorder="1" applyAlignment="1">
      <alignment horizontal="center"/>
    </xf>
    <xf numFmtId="4" fontId="24" fillId="23" borderId="49" xfId="0" applyNumberFormat="1" applyFont="1" applyFill="1" applyBorder="1" applyAlignment="1">
      <alignment horizontal="center"/>
    </xf>
    <xf numFmtId="1" fontId="24" fillId="25" borderId="49" xfId="0" applyNumberFormat="1" applyFont="1" applyFill="1" applyBorder="1" applyAlignment="1">
      <alignment horizontal="center"/>
    </xf>
    <xf numFmtId="10" fontId="24" fillId="25" borderId="49" xfId="0" applyNumberFormat="1" applyFont="1" applyFill="1" applyBorder="1" applyAlignment="1">
      <alignment horizontal="center"/>
    </xf>
    <xf numFmtId="2" fontId="24" fillId="25" borderId="49" xfId="0" applyNumberFormat="1" applyFont="1" applyFill="1" applyBorder="1" applyAlignment="1">
      <alignment horizontal="center"/>
    </xf>
    <xf numFmtId="4" fontId="24" fillId="25" borderId="49" xfId="0" applyNumberFormat="1" applyFont="1" applyFill="1" applyBorder="1" applyAlignment="1">
      <alignment horizontal="center"/>
    </xf>
    <xf numFmtId="2" fontId="24" fillId="27" borderId="49" xfId="1" applyNumberFormat="1" applyFont="1" applyFill="1" applyBorder="1" applyAlignment="1">
      <alignment horizontal="center"/>
    </xf>
    <xf numFmtId="4" fontId="24" fillId="27" borderId="49" xfId="0" applyNumberFormat="1" applyFont="1" applyFill="1" applyBorder="1" applyAlignment="1">
      <alignment horizontal="center"/>
    </xf>
    <xf numFmtId="3" fontId="24" fillId="27" borderId="49" xfId="0" applyNumberFormat="1" applyFont="1" applyFill="1" applyBorder="1" applyAlignment="1">
      <alignment horizontal="center"/>
    </xf>
    <xf numFmtId="3" fontId="24" fillId="27" borderId="49" xfId="0" applyNumberFormat="1" applyFont="1" applyFill="1" applyBorder="1"/>
    <xf numFmtId="3" fontId="24" fillId="29" borderId="49" xfId="0" applyNumberFormat="1" applyFont="1" applyFill="1" applyBorder="1" applyAlignment="1">
      <alignment horizontal="center"/>
    </xf>
    <xf numFmtId="3" fontId="24" fillId="29" borderId="49" xfId="0" applyNumberFormat="1" applyFont="1" applyFill="1" applyBorder="1"/>
    <xf numFmtId="0" fontId="26" fillId="21" borderId="49" xfId="0" applyFont="1" applyFill="1" applyBorder="1"/>
    <xf numFmtId="0" fontId="26" fillId="0" borderId="3" xfId="0" applyFont="1" applyBorder="1" applyAlignment="1">
      <alignment horizontal="center" vertical="center"/>
    </xf>
    <xf numFmtId="3" fontId="26" fillId="21" borderId="51" xfId="0" applyNumberFormat="1" applyFont="1" applyFill="1" applyBorder="1" applyAlignment="1">
      <alignment horizontal="center"/>
    </xf>
    <xf numFmtId="2" fontId="24" fillId="27" borderId="49" xfId="0" applyNumberFormat="1" applyFont="1" applyFill="1" applyBorder="1" applyAlignment="1">
      <alignment horizontal="center"/>
    </xf>
    <xf numFmtId="2" fontId="24" fillId="27" borderId="49" xfId="0" applyNumberFormat="1" applyFont="1" applyFill="1" applyBorder="1"/>
    <xf numFmtId="3" fontId="24" fillId="21" borderId="49" xfId="0" applyNumberFormat="1" applyFont="1" applyFill="1" applyBorder="1" applyAlignment="1">
      <alignment horizontal="center"/>
    </xf>
    <xf numFmtId="167" fontId="24" fillId="21" borderId="49" xfId="1" applyNumberFormat="1" applyFont="1" applyFill="1" applyBorder="1" applyAlignment="1">
      <alignment horizontal="center"/>
    </xf>
    <xf numFmtId="9" fontId="1" fillId="2" borderId="10" xfId="1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31" fillId="0" borderId="0" xfId="3" applyAlignment="1">
      <alignment horizontal="center"/>
    </xf>
    <xf numFmtId="0" fontId="0" fillId="8" borderId="0" xfId="0" applyFill="1" applyAlignment="1">
      <alignment horizontal="left"/>
    </xf>
    <xf numFmtId="3" fontId="0" fillId="8" borderId="0" xfId="0" applyNumberFormat="1" applyFill="1"/>
    <xf numFmtId="3" fontId="1" fillId="0" borderId="0" xfId="0" applyNumberFormat="1" applyFont="1"/>
    <xf numFmtId="3" fontId="15" fillId="0" borderId="1" xfId="0" applyNumberFormat="1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7" fontId="0" fillId="0" borderId="0" xfId="0" applyNumberFormat="1"/>
    <xf numFmtId="4" fontId="4" fillId="2" borderId="1" xfId="0" applyNumberFormat="1" applyFont="1" applyFill="1" applyBorder="1"/>
    <xf numFmtId="44" fontId="33" fillId="0" borderId="1" xfId="4" applyFont="1" applyBorder="1"/>
    <xf numFmtId="0" fontId="24" fillId="0" borderId="0" xfId="0" applyFont="1"/>
    <xf numFmtId="10" fontId="26" fillId="23" borderId="49" xfId="0" applyNumberFormat="1" applyFont="1" applyFill="1" applyBorder="1" applyAlignment="1">
      <alignment horizontal="center"/>
    </xf>
    <xf numFmtId="0" fontId="24" fillId="29" borderId="49" xfId="0" applyFont="1" applyFill="1" applyBorder="1"/>
    <xf numFmtId="4" fontId="24" fillId="29" borderId="49" xfId="0" applyNumberFormat="1" applyFont="1" applyFill="1" applyBorder="1" applyAlignment="1">
      <alignment horizontal="center"/>
    </xf>
    <xf numFmtId="4" fontId="24" fillId="29" borderId="49" xfId="0" applyNumberFormat="1" applyFont="1" applyFill="1" applyBorder="1"/>
    <xf numFmtId="0" fontId="15" fillId="0" borderId="1" xfId="0" applyFont="1" applyBorder="1"/>
    <xf numFmtId="2" fontId="1" fillId="0" borderId="1" xfId="0" applyNumberFormat="1" applyFont="1" applyBorder="1" applyAlignment="1">
      <alignment vertical="center"/>
    </xf>
    <xf numFmtId="9" fontId="1" fillId="0" borderId="1" xfId="1" applyFont="1" applyBorder="1" applyAlignment="1">
      <alignment vertical="center"/>
    </xf>
    <xf numFmtId="3" fontId="0" fillId="2" borderId="1" xfId="1" applyNumberFormat="1" applyFont="1" applyFill="1" applyBorder="1"/>
    <xf numFmtId="9" fontId="1" fillId="2" borderId="10" xfId="0" applyNumberFormat="1" applyFont="1" applyFill="1" applyBorder="1" applyAlignment="1">
      <alignment horizontal="center"/>
    </xf>
    <xf numFmtId="3" fontId="24" fillId="32" borderId="49" xfId="0" applyNumberFormat="1" applyFont="1" applyFill="1" applyBorder="1" applyAlignment="1">
      <alignment horizontal="center"/>
    </xf>
    <xf numFmtId="3" fontId="24" fillId="32" borderId="49" xfId="0" applyNumberFormat="1" applyFont="1" applyFill="1" applyBorder="1"/>
    <xf numFmtId="2" fontId="24" fillId="0" borderId="6" xfId="0" applyNumberFormat="1" applyFont="1" applyBorder="1" applyAlignment="1">
      <alignment horizontal="right"/>
    </xf>
    <xf numFmtId="3" fontId="24" fillId="34" borderId="49" xfId="0" applyNumberFormat="1" applyFont="1" applyFill="1" applyBorder="1" applyAlignment="1">
      <alignment horizontal="right"/>
    </xf>
    <xf numFmtId="3" fontId="24" fillId="18" borderId="49" xfId="0" applyNumberFormat="1" applyFont="1" applyFill="1" applyBorder="1" applyAlignment="1">
      <alignment horizontal="right"/>
    </xf>
    <xf numFmtId="2" fontId="15" fillId="0" borderId="1" xfId="1" applyNumberFormat="1" applyFont="1" applyBorder="1" applyAlignment="1">
      <alignment horizontal="center"/>
    </xf>
    <xf numFmtId="4" fontId="15" fillId="0" borderId="1" xfId="1" applyNumberFormat="1" applyFont="1" applyBorder="1" applyAlignment="1">
      <alignment horizontal="center"/>
    </xf>
    <xf numFmtId="0" fontId="31" fillId="0" borderId="0" xfId="3" applyFill="1" applyAlignment="1">
      <alignment horizontal="center"/>
    </xf>
    <xf numFmtId="0" fontId="35" fillId="4" borderId="39" xfId="0" applyFont="1" applyFill="1" applyBorder="1"/>
    <xf numFmtId="0" fontId="36" fillId="3" borderId="39" xfId="0" applyFont="1" applyFill="1" applyBorder="1"/>
    <xf numFmtId="0" fontId="35" fillId="8" borderId="39" xfId="0" applyFont="1" applyFill="1" applyBorder="1"/>
    <xf numFmtId="0" fontId="36" fillId="12" borderId="45" xfId="0" applyFont="1" applyFill="1" applyBorder="1"/>
    <xf numFmtId="0" fontId="1" fillId="0" borderId="1" xfId="0" applyFont="1" applyBorder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170" fontId="0" fillId="0" borderId="1" xfId="0" applyNumberFormat="1" applyBorder="1"/>
    <xf numFmtId="0" fontId="15" fillId="0" borderId="0" xfId="0" applyFont="1" applyAlignment="1">
      <alignment horizontal="center" textRotation="90" wrapText="1"/>
    </xf>
    <xf numFmtId="0" fontId="15" fillId="0" borderId="0" xfId="0" applyFont="1" applyAlignment="1">
      <alignment textRotation="90" wrapText="1"/>
    </xf>
    <xf numFmtId="170" fontId="1" fillId="0" borderId="1" xfId="0" applyNumberFormat="1" applyFont="1" applyBorder="1"/>
    <xf numFmtId="170" fontId="6" fillId="0" borderId="1" xfId="0" applyNumberFormat="1" applyFont="1" applyBorder="1"/>
    <xf numFmtId="2" fontId="1" fillId="0" borderId="6" xfId="0" applyNumberFormat="1" applyFont="1" applyBorder="1" applyAlignment="1">
      <alignment vertical="center"/>
    </xf>
    <xf numFmtId="2" fontId="1" fillId="0" borderId="7" xfId="0" applyNumberFormat="1" applyFont="1" applyBorder="1" applyAlignment="1">
      <alignment vertical="center"/>
    </xf>
    <xf numFmtId="2" fontId="1" fillId="0" borderId="8" xfId="0" applyNumberFormat="1" applyFont="1" applyBorder="1" applyAlignment="1">
      <alignment vertical="center"/>
    </xf>
    <xf numFmtId="9" fontId="1" fillId="0" borderId="7" xfId="1" applyFont="1" applyBorder="1" applyAlignment="1">
      <alignment vertical="center"/>
    </xf>
    <xf numFmtId="171" fontId="5" fillId="0" borderId="4" xfId="0" applyNumberFormat="1" applyFont="1" applyBorder="1" applyAlignment="1">
      <alignment horizontal="left"/>
    </xf>
    <xf numFmtId="0" fontId="36" fillId="0" borderId="1" xfId="0" applyFont="1" applyBorder="1"/>
    <xf numFmtId="172" fontId="0" fillId="0" borderId="1" xfId="0" applyNumberFormat="1" applyBorder="1"/>
    <xf numFmtId="172" fontId="1" fillId="0" borderId="1" xfId="0" applyNumberFormat="1" applyFont="1" applyBorder="1"/>
    <xf numFmtId="0" fontId="0" fillId="11" borderId="0" xfId="0" applyFill="1"/>
    <xf numFmtId="0" fontId="1" fillId="11" borderId="0" xfId="0" applyFont="1" applyFill="1"/>
    <xf numFmtId="1" fontId="1" fillId="35" borderId="0" xfId="0" applyNumberFormat="1" applyFont="1" applyFill="1"/>
    <xf numFmtId="10" fontId="1" fillId="0" borderId="7" xfId="1" applyNumberFormat="1" applyFont="1" applyBorder="1" applyAlignment="1">
      <alignment vertical="center"/>
    </xf>
    <xf numFmtId="4" fontId="0" fillId="0" borderId="3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169" fontId="1" fillId="0" borderId="1" xfId="0" applyNumberFormat="1" applyFont="1" applyBorder="1"/>
    <xf numFmtId="0" fontId="6" fillId="0" borderId="7" xfId="0" applyFont="1" applyBorder="1" applyAlignment="1">
      <alignment horizontal="center"/>
    </xf>
    <xf numFmtId="164" fontId="1" fillId="0" borderId="1" xfId="0" applyNumberFormat="1" applyFont="1" applyBorder="1"/>
    <xf numFmtId="1" fontId="1" fillId="36" borderId="0" xfId="0" applyNumberFormat="1" applyFont="1" applyFill="1"/>
    <xf numFmtId="3" fontId="15" fillId="0" borderId="7" xfId="0" applyNumberFormat="1" applyFont="1" applyBorder="1"/>
    <xf numFmtId="164" fontId="6" fillId="0" borderId="1" xfId="0" applyNumberFormat="1" applyFont="1" applyBorder="1"/>
    <xf numFmtId="4" fontId="6" fillId="0" borderId="3" xfId="0" applyNumberFormat="1" applyFont="1" applyBorder="1" applyAlignment="1">
      <alignment horizontal="center"/>
    </xf>
    <xf numFmtId="169" fontId="15" fillId="0" borderId="1" xfId="0" applyNumberFormat="1" applyFont="1" applyBorder="1"/>
    <xf numFmtId="4" fontId="6" fillId="0" borderId="1" xfId="0" applyNumberFormat="1" applyFont="1" applyBorder="1"/>
    <xf numFmtId="44" fontId="0" fillId="0" borderId="1" xfId="0" applyNumberFormat="1" applyBorder="1"/>
    <xf numFmtId="173" fontId="0" fillId="0" borderId="3" xfId="0" applyNumberFormat="1" applyBorder="1" applyAlignment="1">
      <alignment horizontal="center"/>
    </xf>
    <xf numFmtId="0" fontId="35" fillId="8" borderId="3" xfId="0" applyFont="1" applyFill="1" applyBorder="1" applyAlignment="1">
      <alignment horizontal="center"/>
    </xf>
    <xf numFmtId="173" fontId="35" fillId="8" borderId="3" xfId="0" applyNumberFormat="1" applyFont="1" applyFill="1" applyBorder="1" applyAlignment="1">
      <alignment horizontal="center"/>
    </xf>
    <xf numFmtId="3" fontId="35" fillId="8" borderId="3" xfId="0" applyNumberFormat="1" applyFont="1" applyFill="1" applyBorder="1" applyAlignment="1">
      <alignment horizontal="center"/>
    </xf>
    <xf numFmtId="172" fontId="35" fillId="8" borderId="1" xfId="0" applyNumberFormat="1" applyFont="1" applyFill="1" applyBorder="1" applyAlignment="1">
      <alignment horizontal="center"/>
    </xf>
    <xf numFmtId="4" fontId="1" fillId="0" borderId="3" xfId="0" applyNumberFormat="1" applyFont="1" applyBorder="1" applyAlignment="1">
      <alignment horizontal="center"/>
    </xf>
    <xf numFmtId="174" fontId="1" fillId="0" borderId="3" xfId="0" applyNumberFormat="1" applyFont="1" applyBorder="1" applyAlignment="1">
      <alignment horizontal="center"/>
    </xf>
    <xf numFmtId="174" fontId="15" fillId="0" borderId="3" xfId="0" applyNumberFormat="1" applyFont="1" applyBorder="1" applyAlignment="1">
      <alignment horizontal="center"/>
    </xf>
    <xf numFmtId="9" fontId="6" fillId="0" borderId="1" xfId="1" applyFont="1" applyBorder="1"/>
    <xf numFmtId="2" fontId="6" fillId="0" borderId="1" xfId="0" applyNumberFormat="1" applyFont="1" applyBorder="1"/>
    <xf numFmtId="2" fontId="1" fillId="0" borderId="1" xfId="1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9" fontId="0" fillId="0" borderId="0" xfId="0" applyNumberFormat="1"/>
    <xf numFmtId="4" fontId="1" fillId="0" borderId="1" xfId="1" applyNumberFormat="1" applyFont="1" applyBorder="1"/>
    <xf numFmtId="4" fontId="0" fillId="0" borderId="1" xfId="0" applyNumberFormat="1" applyBorder="1" applyAlignment="1">
      <alignment horizontal="center"/>
    </xf>
    <xf numFmtId="0" fontId="0" fillId="0" borderId="35" xfId="0" applyBorder="1"/>
    <xf numFmtId="44" fontId="0" fillId="0" borderId="1" xfId="2" applyFont="1" applyBorder="1"/>
    <xf numFmtId="0" fontId="0" fillId="0" borderId="48" xfId="0" applyBorder="1"/>
    <xf numFmtId="0" fontId="0" fillId="0" borderId="36" xfId="0" applyBorder="1"/>
    <xf numFmtId="44" fontId="1" fillId="8" borderId="49" xfId="2" applyFont="1" applyFill="1" applyBorder="1"/>
    <xf numFmtId="0" fontId="0" fillId="0" borderId="51" xfId="0" applyBorder="1"/>
    <xf numFmtId="3" fontId="0" fillId="0" borderId="1" xfId="1" applyNumberFormat="1" applyFont="1" applyBorder="1" applyAlignment="1">
      <alignment horizontal="center"/>
    </xf>
    <xf numFmtId="3" fontId="26" fillId="27" borderId="49" xfId="0" applyNumberFormat="1" applyFont="1" applyFill="1" applyBorder="1" applyAlignment="1">
      <alignment horizontal="center"/>
    </xf>
    <xf numFmtId="2" fontId="24" fillId="0" borderId="6" xfId="0" applyNumberFormat="1" applyFont="1" applyBorder="1" applyAlignment="1">
      <alignment horizontal="center"/>
    </xf>
    <xf numFmtId="0" fontId="26" fillId="0" borderId="42" xfId="0" applyFont="1" applyBorder="1"/>
    <xf numFmtId="170" fontId="15" fillId="0" borderId="0" xfId="0" applyNumberFormat="1" applyFont="1"/>
    <xf numFmtId="170" fontId="0" fillId="0" borderId="0" xfId="0" applyNumberFormat="1"/>
    <xf numFmtId="0" fontId="26" fillId="38" borderId="49" xfId="0" applyFont="1" applyFill="1" applyBorder="1"/>
    <xf numFmtId="0" fontId="26" fillId="38" borderId="51" xfId="0" applyFont="1" applyFill="1" applyBorder="1"/>
    <xf numFmtId="3" fontId="26" fillId="29" borderId="49" xfId="0" applyNumberFormat="1" applyFont="1" applyFill="1" applyBorder="1" applyAlignment="1">
      <alignment horizontal="center"/>
    </xf>
    <xf numFmtId="0" fontId="37" fillId="4" borderId="39" xfId="0" applyFont="1" applyFill="1" applyBorder="1"/>
    <xf numFmtId="0" fontId="4" fillId="3" borderId="39" xfId="0" applyFont="1" applyFill="1" applyBorder="1"/>
    <xf numFmtId="0" fontId="37" fillId="8" borderId="39" xfId="0" applyFont="1" applyFill="1" applyBorder="1"/>
    <xf numFmtId="0" fontId="4" fillId="12" borderId="45" xfId="0" applyFont="1" applyFill="1" applyBorder="1"/>
    <xf numFmtId="6" fontId="1" fillId="2" borderId="10" xfId="0" applyNumberFormat="1" applyFont="1" applyFill="1" applyBorder="1" applyAlignment="1">
      <alignment horizontal="center"/>
    </xf>
    <xf numFmtId="170" fontId="26" fillId="32" borderId="49" xfId="0" applyNumberFormat="1" applyFont="1" applyFill="1" applyBorder="1"/>
    <xf numFmtId="170" fontId="26" fillId="32" borderId="51" xfId="0" applyNumberFormat="1" applyFont="1" applyFill="1" applyBorder="1"/>
    <xf numFmtId="44" fontId="0" fillId="0" borderId="0" xfId="2" applyFont="1"/>
    <xf numFmtId="0" fontId="22" fillId="13" borderId="9" xfId="0" applyFont="1" applyFill="1" applyBorder="1" applyAlignment="1">
      <alignment horizontal="center"/>
    </xf>
    <xf numFmtId="0" fontId="22" fillId="13" borderId="10" xfId="0" applyFont="1" applyFill="1" applyBorder="1" applyAlignment="1">
      <alignment horizontal="center"/>
    </xf>
    <xf numFmtId="0" fontId="22" fillId="13" borderId="11" xfId="0" applyFont="1" applyFill="1" applyBorder="1" applyAlignment="1">
      <alignment horizontal="center"/>
    </xf>
    <xf numFmtId="0" fontId="22" fillId="13" borderId="45" xfId="0" applyFont="1" applyFill="1" applyBorder="1" applyAlignment="1">
      <alignment horizontal="center"/>
    </xf>
    <xf numFmtId="0" fontId="22" fillId="13" borderId="44" xfId="0" applyFont="1" applyFill="1" applyBorder="1" applyAlignment="1">
      <alignment horizontal="center"/>
    </xf>
    <xf numFmtId="0" fontId="22" fillId="13" borderId="28" xfId="0" applyFont="1" applyFill="1" applyBorder="1" applyAlignment="1">
      <alignment horizontal="center"/>
    </xf>
    <xf numFmtId="0" fontId="23" fillId="14" borderId="46" xfId="0" applyFont="1" applyFill="1" applyBorder="1" applyAlignment="1">
      <alignment horizontal="center" vertical="center" textRotation="90"/>
    </xf>
    <xf numFmtId="0" fontId="23" fillId="14" borderId="47" xfId="0" applyFont="1" applyFill="1" applyBorder="1" applyAlignment="1">
      <alignment horizontal="center" vertical="center" textRotation="90"/>
    </xf>
    <xf numFmtId="0" fontId="23" fillId="14" borderId="50" xfId="0" applyFont="1" applyFill="1" applyBorder="1" applyAlignment="1">
      <alignment horizontal="center" vertical="center" textRotation="90"/>
    </xf>
    <xf numFmtId="0" fontId="1" fillId="8" borderId="0" xfId="0" applyFont="1" applyFill="1" applyAlignment="1">
      <alignment horizontal="center"/>
    </xf>
    <xf numFmtId="0" fontId="24" fillId="8" borderId="0" xfId="0" applyFont="1" applyFill="1" applyAlignment="1">
      <alignment horizontal="center"/>
    </xf>
    <xf numFmtId="0" fontId="23" fillId="8" borderId="46" xfId="0" applyFont="1" applyFill="1" applyBorder="1" applyAlignment="1">
      <alignment horizontal="center" vertical="center" textRotation="90" wrapText="1"/>
    </xf>
    <xf numFmtId="0" fontId="23" fillId="8" borderId="47" xfId="0" applyFont="1" applyFill="1" applyBorder="1" applyAlignment="1">
      <alignment horizontal="center" vertical="center" textRotation="90" wrapText="1"/>
    </xf>
    <xf numFmtId="0" fontId="23" fillId="8" borderId="50" xfId="0" applyFont="1" applyFill="1" applyBorder="1" applyAlignment="1">
      <alignment horizontal="center" vertical="center" textRotation="90" wrapText="1"/>
    </xf>
    <xf numFmtId="0" fontId="23" fillId="19" borderId="46" xfId="0" applyFont="1" applyFill="1" applyBorder="1" applyAlignment="1">
      <alignment horizontal="center" vertical="center" textRotation="90"/>
    </xf>
    <xf numFmtId="0" fontId="23" fillId="19" borderId="47" xfId="0" applyFont="1" applyFill="1" applyBorder="1" applyAlignment="1">
      <alignment horizontal="center" vertical="center" textRotation="90"/>
    </xf>
    <xf numFmtId="0" fontId="23" fillId="19" borderId="50" xfId="0" applyFont="1" applyFill="1" applyBorder="1" applyAlignment="1">
      <alignment horizontal="center" vertical="center" textRotation="90"/>
    </xf>
    <xf numFmtId="0" fontId="23" fillId="16" borderId="46" xfId="0" applyFont="1" applyFill="1" applyBorder="1" applyAlignment="1">
      <alignment horizontal="center" vertical="center" textRotation="90" wrapText="1"/>
    </xf>
    <xf numFmtId="0" fontId="23" fillId="16" borderId="47" xfId="0" applyFont="1" applyFill="1" applyBorder="1" applyAlignment="1">
      <alignment horizontal="center" vertical="center" textRotation="90" wrapText="1"/>
    </xf>
    <xf numFmtId="0" fontId="23" fillId="16" borderId="50" xfId="0" applyFont="1" applyFill="1" applyBorder="1" applyAlignment="1">
      <alignment horizontal="center" vertical="center" textRotation="90" wrapText="1"/>
    </xf>
    <xf numFmtId="0" fontId="23" fillId="4" borderId="46" xfId="0" applyFont="1" applyFill="1" applyBorder="1" applyAlignment="1">
      <alignment horizontal="center" vertical="center" textRotation="90"/>
    </xf>
    <xf numFmtId="0" fontId="23" fillId="4" borderId="47" xfId="0" applyFont="1" applyFill="1" applyBorder="1" applyAlignment="1">
      <alignment horizontal="center" vertical="center" textRotation="90"/>
    </xf>
    <xf numFmtId="0" fontId="23" fillId="4" borderId="50" xfId="0" applyFont="1" applyFill="1" applyBorder="1" applyAlignment="1">
      <alignment horizontal="center" vertical="center" textRotation="90"/>
    </xf>
    <xf numFmtId="0" fontId="23" fillId="22" borderId="46" xfId="0" applyFont="1" applyFill="1" applyBorder="1" applyAlignment="1">
      <alignment horizontal="center" vertical="center" textRotation="90"/>
    </xf>
    <xf numFmtId="0" fontId="23" fillId="22" borderId="47" xfId="0" applyFont="1" applyFill="1" applyBorder="1" applyAlignment="1">
      <alignment horizontal="center" vertical="center" textRotation="90"/>
    </xf>
    <xf numFmtId="0" fontId="23" fillId="22" borderId="50" xfId="0" applyFont="1" applyFill="1" applyBorder="1" applyAlignment="1">
      <alignment horizontal="center" vertical="center" textRotation="90"/>
    </xf>
    <xf numFmtId="0" fontId="23" fillId="24" borderId="46" xfId="0" applyFont="1" applyFill="1" applyBorder="1" applyAlignment="1">
      <alignment horizontal="center" vertical="center" textRotation="90"/>
    </xf>
    <xf numFmtId="0" fontId="23" fillId="24" borderId="47" xfId="0" applyFont="1" applyFill="1" applyBorder="1" applyAlignment="1">
      <alignment horizontal="center" vertical="center" textRotation="90"/>
    </xf>
    <xf numFmtId="0" fontId="23" fillId="24" borderId="50" xfId="0" applyFont="1" applyFill="1" applyBorder="1" applyAlignment="1">
      <alignment horizontal="center" vertical="center" textRotation="90"/>
    </xf>
    <xf numFmtId="0" fontId="23" fillId="26" borderId="46" xfId="0" applyFont="1" applyFill="1" applyBorder="1" applyAlignment="1">
      <alignment horizontal="center" vertical="center" textRotation="90" wrapText="1"/>
    </xf>
    <xf numFmtId="0" fontId="23" fillId="26" borderId="47" xfId="0" applyFont="1" applyFill="1" applyBorder="1" applyAlignment="1">
      <alignment horizontal="center" vertical="center" textRotation="90" wrapText="1"/>
    </xf>
    <xf numFmtId="0" fontId="23" fillId="26" borderId="50" xfId="0" applyFont="1" applyFill="1" applyBorder="1" applyAlignment="1">
      <alignment horizontal="center" vertical="center" textRotation="90" wrapText="1"/>
    </xf>
    <xf numFmtId="0" fontId="27" fillId="28" borderId="46" xfId="0" applyFont="1" applyFill="1" applyBorder="1" applyAlignment="1">
      <alignment horizontal="center" vertical="center" textRotation="90" wrapText="1"/>
    </xf>
    <xf numFmtId="0" fontId="27" fillId="28" borderId="47" xfId="0" applyFont="1" applyFill="1" applyBorder="1" applyAlignment="1">
      <alignment horizontal="center" vertical="center" textRotation="90" wrapText="1"/>
    </xf>
    <xf numFmtId="0" fontId="27" fillId="28" borderId="50" xfId="0" applyFont="1" applyFill="1" applyBorder="1" applyAlignment="1">
      <alignment horizontal="center" vertical="center" textRotation="90" wrapText="1"/>
    </xf>
    <xf numFmtId="0" fontId="23" fillId="30" borderId="46" xfId="0" applyFont="1" applyFill="1" applyBorder="1" applyAlignment="1">
      <alignment horizontal="center" vertical="center" textRotation="90" wrapText="1"/>
    </xf>
    <xf numFmtId="0" fontId="23" fillId="30" borderId="47" xfId="0" applyFont="1" applyFill="1" applyBorder="1" applyAlignment="1">
      <alignment horizontal="center" vertical="center" textRotation="90" wrapText="1"/>
    </xf>
    <xf numFmtId="0" fontId="23" fillId="30" borderId="50" xfId="0" applyFont="1" applyFill="1" applyBorder="1" applyAlignment="1">
      <alignment horizontal="center" vertical="center" textRotation="90" wrapText="1"/>
    </xf>
    <xf numFmtId="0" fontId="23" fillId="33" borderId="46" xfId="0" applyFont="1" applyFill="1" applyBorder="1" applyAlignment="1">
      <alignment horizontal="center" vertical="center" textRotation="90" wrapText="1"/>
    </xf>
    <xf numFmtId="0" fontId="23" fillId="33" borderId="47" xfId="0" applyFont="1" applyFill="1" applyBorder="1" applyAlignment="1">
      <alignment horizontal="center" vertical="center" textRotation="90" wrapText="1"/>
    </xf>
    <xf numFmtId="0" fontId="23" fillId="33" borderId="50" xfId="0" applyFont="1" applyFill="1" applyBorder="1" applyAlignment="1">
      <alignment horizontal="center" vertical="center" textRotation="90" wrapText="1"/>
    </xf>
    <xf numFmtId="0" fontId="24" fillId="2" borderId="46" xfId="0" applyFont="1" applyFill="1" applyBorder="1" applyAlignment="1">
      <alignment horizontal="center" vertical="center" wrapText="1"/>
    </xf>
    <xf numFmtId="0" fontId="24" fillId="2" borderId="50" xfId="0" applyFont="1" applyFill="1" applyBorder="1" applyAlignment="1">
      <alignment horizontal="center" vertical="center" wrapText="1"/>
    </xf>
    <xf numFmtId="0" fontId="24" fillId="2" borderId="46" xfId="0" applyFont="1" applyFill="1" applyBorder="1" applyAlignment="1">
      <alignment horizontal="left" vertical="center" wrapText="1"/>
    </xf>
    <xf numFmtId="0" fontId="24" fillId="2" borderId="50" xfId="0" applyFont="1" applyFill="1" applyBorder="1" applyAlignment="1">
      <alignment horizontal="left" vertical="center" wrapText="1"/>
    </xf>
    <xf numFmtId="0" fontId="1" fillId="33" borderId="59" xfId="0" applyFont="1" applyFill="1" applyBorder="1" applyAlignment="1">
      <alignment horizontal="center" vertical="center"/>
    </xf>
    <xf numFmtId="0" fontId="1" fillId="33" borderId="60" xfId="0" applyFont="1" applyFill="1" applyBorder="1" applyAlignment="1">
      <alignment horizontal="center" vertical="center"/>
    </xf>
    <xf numFmtId="0" fontId="1" fillId="33" borderId="6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6" fillId="12" borderId="44" xfId="0" applyFont="1" applyFill="1" applyBorder="1" applyAlignment="1">
      <alignment horizontal="center"/>
    </xf>
    <xf numFmtId="0" fontId="36" fillId="12" borderId="2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0" fontId="35" fillId="4" borderId="10" xfId="0" applyFont="1" applyFill="1" applyBorder="1" applyAlignment="1">
      <alignment horizontal="center"/>
    </xf>
    <xf numFmtId="0" fontId="35" fillId="4" borderId="11" xfId="0" applyFont="1" applyFill="1" applyBorder="1" applyAlignment="1">
      <alignment horizontal="center"/>
    </xf>
    <xf numFmtId="0" fontId="36" fillId="3" borderId="0" xfId="0" applyFont="1" applyFill="1" applyAlignment="1">
      <alignment horizontal="center"/>
    </xf>
    <xf numFmtId="0" fontId="36" fillId="3" borderId="14" xfId="0" applyFont="1" applyFill="1" applyBorder="1" applyAlignment="1">
      <alignment horizontal="center"/>
    </xf>
    <xf numFmtId="0" fontId="35" fillId="8" borderId="0" xfId="0" applyFont="1" applyFill="1" applyAlignment="1">
      <alignment horizontal="center"/>
    </xf>
    <xf numFmtId="0" fontId="35" fillId="8" borderId="14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0" fontId="1" fillId="11" borderId="0" xfId="0" applyFont="1" applyFill="1" applyAlignment="1">
      <alignment horizontal="center"/>
    </xf>
    <xf numFmtId="0" fontId="1" fillId="35" borderId="0" xfId="0" applyFont="1" applyFill="1" applyAlignment="1">
      <alignment horizontal="center"/>
    </xf>
    <xf numFmtId="0" fontId="1" fillId="3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37" borderId="0" xfId="0" applyFont="1" applyFill="1" applyAlignment="1">
      <alignment horizontal="center"/>
    </xf>
    <xf numFmtId="0" fontId="6" fillId="4" borderId="2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5" fillId="0" borderId="0" xfId="0" applyFont="1" applyAlignment="1">
      <alignment horizontal="center" textRotation="90" wrapText="1"/>
    </xf>
    <xf numFmtId="0" fontId="0" fillId="0" borderId="5" xfId="0" applyBorder="1" applyAlignment="1">
      <alignment horizontal="left"/>
    </xf>
    <xf numFmtId="0" fontId="21" fillId="2" borderId="0" xfId="0" applyFont="1" applyFill="1" applyAlignment="1">
      <alignment horizontal="center" textRotation="90" wrapText="1"/>
    </xf>
    <xf numFmtId="0" fontId="15" fillId="2" borderId="0" xfId="0" applyFont="1" applyFill="1" applyAlignment="1">
      <alignment horizontal="center" textRotation="90" wrapText="1"/>
    </xf>
    <xf numFmtId="0" fontId="9" fillId="10" borderId="29" xfId="0" applyFont="1" applyFill="1" applyBorder="1" applyAlignment="1">
      <alignment vertical="top" wrapText="1"/>
    </xf>
    <xf numFmtId="0" fontId="9" fillId="10" borderId="30" xfId="0" applyFont="1" applyFill="1" applyBorder="1" applyAlignment="1">
      <alignment vertical="top" wrapText="1"/>
    </xf>
    <xf numFmtId="0" fontId="0" fillId="5" borderId="40" xfId="0" applyFill="1" applyBorder="1" applyAlignment="1">
      <alignment horizontal="left" vertical="top" wrapText="1"/>
    </xf>
    <xf numFmtId="0" fontId="0" fillId="5" borderId="10" xfId="0" applyFill="1" applyBorder="1" applyAlignment="1">
      <alignment horizontal="left" vertical="top" wrapText="1"/>
    </xf>
    <xf numFmtId="0" fontId="0" fillId="5" borderId="42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43" xfId="0" applyFill="1" applyBorder="1" applyAlignment="1">
      <alignment horizontal="left" vertical="top" wrapText="1"/>
    </xf>
    <xf numFmtId="0" fontId="0" fillId="5" borderId="44" xfId="0" applyFill="1" applyBorder="1" applyAlignment="1">
      <alignment horizontal="left" vertical="top" wrapText="1"/>
    </xf>
    <xf numFmtId="0" fontId="12" fillId="10" borderId="41" xfId="0" applyFont="1" applyFill="1" applyBorder="1" applyAlignment="1">
      <alignment vertical="top"/>
    </xf>
    <xf numFmtId="0" fontId="12" fillId="10" borderId="20" xfId="0" applyFont="1" applyFill="1" applyBorder="1" applyAlignment="1">
      <alignment vertical="top"/>
    </xf>
    <xf numFmtId="0" fontId="12" fillId="10" borderId="21" xfId="0" applyFont="1" applyFill="1" applyBorder="1" applyAlignment="1">
      <alignment vertical="top"/>
    </xf>
    <xf numFmtId="0" fontId="12" fillId="10" borderId="37" xfId="0" applyFont="1" applyFill="1" applyBorder="1" applyAlignment="1">
      <alignment vertical="top"/>
    </xf>
    <xf numFmtId="0" fontId="8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0" fillId="6" borderId="15" xfId="0" applyFill="1" applyBorder="1" applyAlignment="1">
      <alignment vertical="center" wrapText="1"/>
    </xf>
    <xf numFmtId="0" fontId="0" fillId="6" borderId="16" xfId="0" applyFill="1" applyBorder="1" applyAlignment="1">
      <alignment vertical="center" wrapText="1"/>
    </xf>
    <xf numFmtId="0" fontId="0" fillId="6" borderId="21" xfId="0" applyFill="1" applyBorder="1" applyAlignment="1">
      <alignment vertical="center" wrapText="1"/>
    </xf>
    <xf numFmtId="0" fontId="0" fillId="6" borderId="22" xfId="0" applyFill="1" applyBorder="1" applyAlignment="1">
      <alignment vertical="center" wrapText="1"/>
    </xf>
    <xf numFmtId="0" fontId="9" fillId="7" borderId="17" xfId="0" applyFont="1" applyFill="1" applyBorder="1" applyAlignment="1">
      <alignment horizontal="left" vertical="center" wrapText="1"/>
    </xf>
    <xf numFmtId="0" fontId="9" fillId="7" borderId="18" xfId="0" applyFont="1" applyFill="1" applyBorder="1" applyAlignment="1">
      <alignment horizontal="left" vertical="center" wrapText="1"/>
    </xf>
    <xf numFmtId="0" fontId="9" fillId="7" borderId="19" xfId="0" applyFont="1" applyFill="1" applyBorder="1" applyAlignment="1">
      <alignment horizontal="left" vertical="center" wrapText="1"/>
    </xf>
    <xf numFmtId="0" fontId="9" fillId="7" borderId="20" xfId="0" applyFont="1" applyFill="1" applyBorder="1" applyAlignment="1">
      <alignment vertical="top"/>
    </xf>
    <xf numFmtId="0" fontId="9" fillId="7" borderId="16" xfId="0" applyFont="1" applyFill="1" applyBorder="1" applyAlignment="1">
      <alignment vertical="top"/>
    </xf>
    <xf numFmtId="0" fontId="9" fillId="7" borderId="23" xfId="0" applyFont="1" applyFill="1" applyBorder="1" applyAlignment="1">
      <alignment horizontal="left" vertical="top" wrapText="1"/>
    </xf>
    <xf numFmtId="0" fontId="9" fillId="7" borderId="24" xfId="0" applyFont="1" applyFill="1" applyBorder="1" applyAlignment="1">
      <alignment horizontal="left" vertical="top" wrapText="1"/>
    </xf>
    <xf numFmtId="0" fontId="9" fillId="7" borderId="25" xfId="0" applyFont="1" applyFill="1" applyBorder="1" applyAlignment="1">
      <alignment horizontal="left" vertical="top" wrapText="1"/>
    </xf>
    <xf numFmtId="0" fontId="4" fillId="0" borderId="0" xfId="0" applyFont="1" applyAlignment="1">
      <alignment horizontal="center" textRotation="90" wrapText="1"/>
    </xf>
    <xf numFmtId="0" fontId="0" fillId="0" borderId="3" xfId="0" applyBorder="1" applyAlignment="1">
      <alignment horizontal="left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2" borderId="5" xfId="0" applyFill="1" applyBorder="1" applyAlignment="1">
      <alignment horizontal="left"/>
    </xf>
    <xf numFmtId="9" fontId="0" fillId="0" borderId="6" xfId="1" applyFont="1" applyBorder="1" applyAlignment="1">
      <alignment horizontal="center" vertical="center"/>
    </xf>
    <xf numFmtId="9" fontId="0" fillId="0" borderId="7" xfId="1" applyFont="1" applyBorder="1" applyAlignment="1">
      <alignment horizontal="center" vertical="center"/>
    </xf>
    <xf numFmtId="9" fontId="0" fillId="0" borderId="8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8" borderId="62" xfId="0" applyFill="1" applyBorder="1" applyAlignment="1">
      <alignment horizontal="center"/>
    </xf>
    <xf numFmtId="10" fontId="1" fillId="4" borderId="6" xfId="1" applyNumberFormat="1" applyFont="1" applyFill="1" applyBorder="1" applyAlignment="1">
      <alignment horizontal="center" vertical="center"/>
    </xf>
    <xf numFmtId="10" fontId="1" fillId="4" borderId="7" xfId="1" applyNumberFormat="1" applyFont="1" applyFill="1" applyBorder="1" applyAlignment="1">
      <alignment horizontal="center" vertical="center"/>
    </xf>
    <xf numFmtId="10" fontId="1" fillId="4" borderId="8" xfId="1" applyNumberFormat="1" applyFont="1" applyFill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4" fillId="0" borderId="0" xfId="0" applyFont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/>
    </xf>
  </cellXfs>
  <cellStyles count="5">
    <cellStyle name="Hiperlink" xfId="3" builtinId="8"/>
    <cellStyle name="Moeda" xfId="2" builtinId="4"/>
    <cellStyle name="Moeda 2" xfId="4" xr:uid="{DB314831-A583-4F18-8958-AA4151C47FB8}"/>
    <cellStyle name="Normal" xfId="0" builtinId="0"/>
    <cellStyle name="Porcentagem" xfId="1" builtinId="5"/>
  </cellStyles>
  <dxfs count="2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tyles" Target="styles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microsoft.com/office/2022/10/relationships/richValueRel" Target="richData/richValueRel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Controle Mensal de Consumo de Energia Elétrica - 2026</a:t>
            </a:r>
          </a:p>
          <a:p>
            <a:pPr>
              <a:defRPr sz="1800" b="1"/>
            </a:pPr>
            <a:r>
              <a:rPr lang="en-US" sz="1800" b="1"/>
              <a:t>Custo na Peça Produzida - R$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'ESG - Energia Eletrica'!$A$31:$B$31</c:f>
              <c:strCache>
                <c:ptCount val="2"/>
                <c:pt idx="0">
                  <c:v>Custo EE/peça R$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rgbClr val="FF000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E497-4CB2-A38F-3C543C68CC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[1]EELETRICA!$B$26:$O$26</c:f>
              <c:strCache>
                <c:ptCount val="14"/>
                <c:pt idx="1">
                  <c:v>Média 2025</c:v>
                </c:pt>
                <c:pt idx="2">
                  <c:v>jan</c:v>
                </c:pt>
                <c:pt idx="3">
                  <c:v>fev</c:v>
                </c:pt>
                <c:pt idx="4">
                  <c:v>mar</c:v>
                </c:pt>
                <c:pt idx="5">
                  <c:v>abr</c:v>
                </c:pt>
                <c:pt idx="6">
                  <c:v>mai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  <c:pt idx="10">
                  <c:v>set</c:v>
                </c:pt>
                <c:pt idx="11">
                  <c:v>out</c:v>
                </c:pt>
                <c:pt idx="12">
                  <c:v>nov</c:v>
                </c:pt>
                <c:pt idx="13">
                  <c:v>dez</c:v>
                </c:pt>
              </c:strCache>
            </c:strRef>
          </c:cat>
          <c:val>
            <c:numRef>
              <c:f>'ESG - Energia Eletrica'!$C$31:$O$31</c:f>
              <c:numCache>
                <c:formatCode>#,##0.000</c:formatCode>
                <c:ptCount val="13"/>
                <c:pt idx="0" formatCode="0.000">
                  <c:v>0.42647987201772058</c:v>
                </c:pt>
                <c:pt idx="1">
                  <c:v>0.31723536190528456</c:v>
                </c:pt>
                <c:pt idx="2">
                  <c:v>0.47322468004937313</c:v>
                </c:pt>
                <c:pt idx="3">
                  <c:v>0.40493499852797615</c:v>
                </c:pt>
                <c:pt idx="4">
                  <c:v>0.44751342872082522</c:v>
                </c:pt>
                <c:pt idx="5">
                  <c:v>0.46277211420564024</c:v>
                </c:pt>
                <c:pt idx="6">
                  <c:v>0.68380270761986306</c:v>
                </c:pt>
                <c:pt idx="7">
                  <c:v>4.0408374063212769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30-4216-A1F8-73F20695C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5275328"/>
        <c:axId val="1565274848"/>
      </c:barChart>
      <c:lineChart>
        <c:grouping val="standard"/>
        <c:varyColors val="0"/>
        <c:ser>
          <c:idx val="0"/>
          <c:order val="0"/>
          <c:tx>
            <c:strRef>
              <c:f>'ESG - Energia Eletrica'!$A$28</c:f>
              <c:strCache>
                <c:ptCount val="1"/>
                <c:pt idx="0">
                  <c:v>Meta R$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'ESG - Energia Eletrica'!$C$27:$O$27</c:f>
              <c:strCache>
                <c:ptCount val="13"/>
                <c:pt idx="0">
                  <c:v>Média 2025</c:v>
                </c:pt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'ESG - Energia Eletrica'!$B$28:$O$28</c:f>
              <c:numCache>
                <c:formatCode>#,##0.00</c:formatCode>
                <c:ptCount val="14"/>
                <c:pt idx="0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30-4216-A1F8-73F20695C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275328"/>
        <c:axId val="1565274848"/>
      </c:lineChart>
      <c:lineChart>
        <c:grouping val="standard"/>
        <c:varyColors val="0"/>
        <c:ser>
          <c:idx val="1"/>
          <c:order val="2"/>
          <c:tx>
            <c:strRef>
              <c:f>'ESG - Energia Eletrica'!$C$27</c:f>
              <c:strCache>
                <c:ptCount val="1"/>
                <c:pt idx="0">
                  <c:v>Média 2025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val>
            <c:numRef>
              <c:f>'ESG - Energia Eletrica'!$C$31</c:f>
              <c:numCache>
                <c:formatCode>0.000</c:formatCode>
                <c:ptCount val="1"/>
                <c:pt idx="0">
                  <c:v>0.42647987201772058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32-4A5E-A870-B9273E381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5938416"/>
        <c:axId val="1825939376"/>
      </c:lineChart>
      <c:catAx>
        <c:axId val="156527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5274848"/>
        <c:crosses val="autoZero"/>
        <c:auto val="1"/>
        <c:lblAlgn val="ctr"/>
        <c:lblOffset val="100"/>
        <c:noMultiLvlLbl val="0"/>
      </c:catAx>
      <c:valAx>
        <c:axId val="156527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 Energia na Peça Produzida R$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5275328"/>
        <c:crosses val="autoZero"/>
        <c:crossBetween val="between"/>
      </c:valAx>
      <c:valAx>
        <c:axId val="182593937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Consumo Mnesal  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5938416"/>
        <c:crosses val="max"/>
        <c:crossBetween val="between"/>
      </c:valAx>
      <c:catAx>
        <c:axId val="1825938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25939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169159229761"/>
          <c:y val="0.93620144351277912"/>
          <c:w val="0.28551070383648763"/>
          <c:h val="4.7064595286293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Custo Mensal - Consumo de Água na Produção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1"/>
          <c:tx>
            <c:strRef>
              <c:f>'ESG - Agua'!$A$31:$B$31</c:f>
              <c:strCache>
                <c:ptCount val="2"/>
                <c:pt idx="0">
                  <c:v>Custo Peça Produzida R$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4CA-4930-BBFF-160DC177EF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'ESG - Agua'!$C$27:$O$27</c:f>
              <c:strCache>
                <c:ptCount val="13"/>
                <c:pt idx="0">
                  <c:v>Média 2025</c:v>
                </c:pt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'ESG - Agua'!$C$31:$J$31</c:f>
              <c:numCache>
                <c:formatCode>_-[$R$-416]\ * #,##0.00_-;\-[$R$-416]\ * #,##0.00_-;_-[$R$-416]\ * "-"??_-;_-@_-</c:formatCode>
                <c:ptCount val="8"/>
                <c:pt idx="0" formatCode="0.000">
                  <c:v>5.6744296943500132E-2</c:v>
                </c:pt>
                <c:pt idx="1">
                  <c:v>5.2191735718597379E-2</c:v>
                </c:pt>
                <c:pt idx="2">
                  <c:v>0.12503410641200546</c:v>
                </c:pt>
                <c:pt idx="3">
                  <c:v>7.8422610285572611E-2</c:v>
                </c:pt>
                <c:pt idx="4">
                  <c:v>7.2974283405428525E-2</c:v>
                </c:pt>
                <c:pt idx="5">
                  <c:v>3.9452155625657202E-2</c:v>
                </c:pt>
                <c:pt idx="6">
                  <c:v>3.8174764554794516E-2</c:v>
                </c:pt>
                <c:pt idx="7">
                  <c:v>0.31481915933528837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D2-4E0D-B8FB-CA8D04762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5275328"/>
        <c:axId val="1565274848"/>
      </c:barChart>
      <c:lineChart>
        <c:grouping val="standard"/>
        <c:varyColors val="0"/>
        <c:ser>
          <c:idx val="0"/>
          <c:order val="2"/>
          <c:tx>
            <c:strRef>
              <c:f>'ESG - Agua'!$A$28</c:f>
              <c:strCache>
                <c:ptCount val="1"/>
                <c:pt idx="0">
                  <c:v>Meta R$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'ESG - Agua'!$D$27:$O$27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'ESG - Agua'!$B$28:$O$28</c:f>
              <c:numCache>
                <c:formatCode>#,##0.00</c:formatCode>
                <c:ptCount val="14"/>
                <c:pt idx="0">
                  <c:v>0.15</c:v>
                </c:pt>
                <c:pt idx="2" formatCode="[$R$-416]\ #,##0.00;\-[$R$-416]\ #,##0.00">
                  <c:v>0.15</c:v>
                </c:pt>
                <c:pt idx="3" formatCode="[$R$-416]\ #,##0.00;\-[$R$-416]\ #,##0.00">
                  <c:v>0.15</c:v>
                </c:pt>
                <c:pt idx="4" formatCode="[$R$-416]\ #,##0.00;\-[$R$-416]\ #,##0.00">
                  <c:v>0.15</c:v>
                </c:pt>
                <c:pt idx="5" formatCode="[$R$-416]\ #,##0.00;\-[$R$-416]\ #,##0.00">
                  <c:v>0.15</c:v>
                </c:pt>
                <c:pt idx="6" formatCode="[$R$-416]\ #,##0.00;\-[$R$-416]\ #,##0.00">
                  <c:v>0.15</c:v>
                </c:pt>
                <c:pt idx="7" formatCode="[$R$-416]\ #,##0.00;\-[$R$-416]\ #,##0.00">
                  <c:v>0.15</c:v>
                </c:pt>
                <c:pt idx="8" formatCode="[$R$-416]\ #,##0.00;\-[$R$-416]\ #,##0.00">
                  <c:v>0.15</c:v>
                </c:pt>
                <c:pt idx="9" formatCode="[$R$-416]\ #,##0.00;\-[$R$-416]\ #,##0.00">
                  <c:v>0.15</c:v>
                </c:pt>
                <c:pt idx="10" formatCode="[$R$-416]\ #,##0.00;\-[$R$-416]\ #,##0.00">
                  <c:v>0.15</c:v>
                </c:pt>
                <c:pt idx="11" formatCode="[$R$-416]\ #,##0.00;\-[$R$-416]\ #,##0.00">
                  <c:v>0.15</c:v>
                </c:pt>
                <c:pt idx="12" formatCode="[$R$-416]\ #,##0.00;\-[$R$-416]\ #,##0.00">
                  <c:v>0.15</c:v>
                </c:pt>
                <c:pt idx="13" formatCode="[$R$-416]\ #,##0.00;\-[$R$-416]\ #,##0.0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D2-42DE-8719-24EEA8CF2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275328"/>
        <c:axId val="1565274848"/>
      </c:lineChart>
      <c:lineChart>
        <c:grouping val="standard"/>
        <c:varyColors val="0"/>
        <c:ser>
          <c:idx val="2"/>
          <c:order val="0"/>
          <c:tx>
            <c:strRef>
              <c:f>'ESG - Agua'!$A$30:$B$30</c:f>
              <c:strCache>
                <c:ptCount val="2"/>
                <c:pt idx="0">
                  <c:v>Consumo Mensal m³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'ESG - Agua'!$D$27:$O$27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'ESG - Agua'!$C$30:$J$30</c:f>
              <c:numCache>
                <c:formatCode>#,##0</c:formatCode>
                <c:ptCount val="8"/>
                <c:pt idx="1">
                  <c:v>102</c:v>
                </c:pt>
                <c:pt idx="2">
                  <c:v>158</c:v>
                </c:pt>
                <c:pt idx="3">
                  <c:v>127</c:v>
                </c:pt>
                <c:pt idx="4">
                  <c:v>116</c:v>
                </c:pt>
                <c:pt idx="5">
                  <c:v>94</c:v>
                </c:pt>
                <c:pt idx="6">
                  <c:v>66</c:v>
                </c:pt>
                <c:pt idx="7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D2-4E0D-B8FB-CA8D04762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5938416"/>
        <c:axId val="1825939376"/>
      </c:lineChart>
      <c:catAx>
        <c:axId val="156527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5274848"/>
        <c:crosses val="autoZero"/>
        <c:auto val="1"/>
        <c:lblAlgn val="ctr"/>
        <c:lblOffset val="100"/>
        <c:noMultiLvlLbl val="0"/>
      </c:catAx>
      <c:valAx>
        <c:axId val="156527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 R$  por Peça Produzida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5275328"/>
        <c:crosses val="autoZero"/>
        <c:crossBetween val="between"/>
      </c:valAx>
      <c:valAx>
        <c:axId val="182593937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Consumo Mnesal  M³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5938416"/>
        <c:crosses val="max"/>
        <c:crossBetween val="between"/>
      </c:valAx>
      <c:catAx>
        <c:axId val="1825938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25939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Destinação de Resíduos - ÓLEOS E SUCATA</a:t>
            </a:r>
            <a:r>
              <a:rPr lang="en-US" sz="1800" b="1" baseline="0"/>
              <a:t> METÁLICA</a:t>
            </a:r>
            <a:r>
              <a:rPr lang="en-US" sz="1800" b="1"/>
              <a:t>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'ESG - Resíduos'!$A$31</c:f>
              <c:strCache>
                <c:ptCount val="1"/>
                <c:pt idx="0">
                  <c:v>Custo Peça Produzida R$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5B-41DF-8482-0B1D67560A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'ESG - Resíduos'!$C$27:$O$27</c:f>
              <c:strCache>
                <c:ptCount val="13"/>
                <c:pt idx="0">
                  <c:v>Média 2025</c:v>
                </c:pt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'ESG - Resíduos'!$C$31:$O$31</c:f>
              <c:numCache>
                <c:formatCode>#,##0.000</c:formatCode>
                <c:ptCount val="13"/>
                <c:pt idx="0">
                  <c:v>6.1802825127960773E-2</c:v>
                </c:pt>
                <c:pt idx="1">
                  <c:v>6.1735169840311695E-2</c:v>
                </c:pt>
                <c:pt idx="2">
                  <c:v>6.1735169840311695E-2</c:v>
                </c:pt>
                <c:pt idx="3">
                  <c:v>6.1735169840311695E-2</c:v>
                </c:pt>
                <c:pt idx="4">
                  <c:v>5.7042353947806247E-2</c:v>
                </c:pt>
                <c:pt idx="5">
                  <c:v>0</c:v>
                </c:pt>
                <c:pt idx="6">
                  <c:v>8.8291952054794523E-2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6E-4111-B30D-21311F9AB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5275328"/>
        <c:axId val="1565274848"/>
      </c:barChart>
      <c:lineChart>
        <c:grouping val="standard"/>
        <c:varyColors val="0"/>
        <c:ser>
          <c:idx val="2"/>
          <c:order val="2"/>
          <c:tx>
            <c:strRef>
              <c:f>'ESG - Resíduos'!$A$28</c:f>
              <c:strCache>
                <c:ptCount val="1"/>
                <c:pt idx="0">
                  <c:v>Meta R$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E1D6-46C7-8BAD-8C92B89A9796}"/>
              </c:ext>
            </c:extLst>
          </c:dPt>
          <c:val>
            <c:numRef>
              <c:f>'ESG - Resíduos'!$C$28:$O$28</c:f>
              <c:numCache>
                <c:formatCode>#,##0.00</c:formatCode>
                <c:ptCount val="13"/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D6-46C7-8BAD-8C92B89A9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275328"/>
        <c:axId val="1565274848"/>
      </c:lineChart>
      <c:lineChart>
        <c:grouping val="standard"/>
        <c:varyColors val="0"/>
        <c:ser>
          <c:idx val="1"/>
          <c:order val="1"/>
          <c:tx>
            <c:strRef>
              <c:f>'ESG - Resíduos'!$A$33:$B$33</c:f>
              <c:strCache>
                <c:ptCount val="2"/>
                <c:pt idx="0">
                  <c:v>Venda Sucata Kilos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solidFill>
                  <a:srgbClr val="00B05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'ESG - Resíduos'!$C$27:$O$27</c:f>
              <c:strCache>
                <c:ptCount val="13"/>
                <c:pt idx="0">
                  <c:v>Média 2025</c:v>
                </c:pt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'ESG - Resíduos'!$C$33:$O$33</c:f>
              <c:numCache>
                <c:formatCode>#,##0</c:formatCode>
                <c:ptCount val="13"/>
                <c:pt idx="0" formatCode="General">
                  <c:v>0</c:v>
                </c:pt>
                <c:pt idx="1">
                  <c:v>45880</c:v>
                </c:pt>
                <c:pt idx="2">
                  <c:v>29980</c:v>
                </c:pt>
                <c:pt idx="3">
                  <c:v>45400</c:v>
                </c:pt>
                <c:pt idx="4">
                  <c:v>37180</c:v>
                </c:pt>
                <c:pt idx="5">
                  <c:v>0</c:v>
                </c:pt>
                <c:pt idx="6">
                  <c:v>40220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6E-4111-B30D-21311F9AB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983600"/>
        <c:axId val="54981680"/>
      </c:lineChart>
      <c:catAx>
        <c:axId val="156527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5274848"/>
        <c:crosses val="autoZero"/>
        <c:auto val="1"/>
        <c:lblAlgn val="ctr"/>
        <c:lblOffset val="100"/>
        <c:noMultiLvlLbl val="0"/>
      </c:catAx>
      <c:valAx>
        <c:axId val="156527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 por Peça Produzida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5275328"/>
        <c:crosses val="autoZero"/>
        <c:crossBetween val="between"/>
      </c:valAx>
      <c:valAx>
        <c:axId val="549816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983600"/>
        <c:crosses val="max"/>
        <c:crossBetween val="between"/>
      </c:valAx>
      <c:catAx>
        <c:axId val="549836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4981680"/>
        <c:crosses val="autoZero"/>
        <c:auto val="1"/>
        <c:lblAlgn val="ctr"/>
        <c:lblOffset val="100"/>
        <c:noMultiLvlLbl val="0"/>
      </c:catAx>
      <c:spPr>
        <a:noFill/>
        <a:ln>
          <a:solidFill>
            <a:srgbClr val="FF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Classificação - ÓLEOS LUBRIFICANTES</a:t>
            </a:r>
            <a:r>
              <a:rPr lang="en-US" sz="1800" b="1" baseline="0"/>
              <a:t> - </a:t>
            </a:r>
            <a:r>
              <a:rPr lang="en-US" sz="1800" b="1"/>
              <a:t>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6334321320608028E-2"/>
          <c:y val="0.11574825976631846"/>
          <c:w val="0.86946789828206272"/>
          <c:h val="0.7574074616964007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'ESG - Resíduos'!$A$71</c:f>
              <c:strCache>
                <c:ptCount val="1"/>
                <c:pt idx="0">
                  <c:v>Custo óleo/peça R$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'ESG - Resíduos'!$C$66:$O$66</c:f>
              <c:strCache>
                <c:ptCount val="13"/>
                <c:pt idx="0">
                  <c:v>Média 2025</c:v>
                </c:pt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'ESG - Resíduos'!$C$71:$O$71</c:f>
              <c:numCache>
                <c:formatCode>#,##0.000</c:formatCode>
                <c:ptCount val="13"/>
                <c:pt idx="0" formatCode="0.0000">
                  <c:v>0.31841575781814824</c:v>
                </c:pt>
                <c:pt idx="1">
                  <c:v>0.36825179717938872</c:v>
                </c:pt>
                <c:pt idx="2">
                  <c:v>0.56299876567270835</c:v>
                </c:pt>
                <c:pt idx="3">
                  <c:v>0.49404217735562544</c:v>
                </c:pt>
                <c:pt idx="4">
                  <c:v>0.46948413836622299</c:v>
                </c:pt>
                <c:pt idx="5">
                  <c:v>0.72728008407777189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94-4A04-9548-E0075DB2C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5275328"/>
        <c:axId val="1565274848"/>
      </c:barChart>
      <c:lineChart>
        <c:grouping val="standard"/>
        <c:varyColors val="0"/>
        <c:ser>
          <c:idx val="0"/>
          <c:order val="2"/>
          <c:tx>
            <c:strRef>
              <c:f>'ESG - Resíduos'!$A$67</c:f>
              <c:strCache>
                <c:ptCount val="1"/>
                <c:pt idx="0">
                  <c:v>Meta R$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'ESG - Resíduos'!$C$66:$O$66</c:f>
              <c:strCache>
                <c:ptCount val="13"/>
                <c:pt idx="0">
                  <c:v>Média 2025</c:v>
                </c:pt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'ESG - Resíduos'!$B$67:$O$67</c:f>
              <c:numCache>
                <c:formatCode>#,##0.00</c:formatCode>
                <c:ptCount val="14"/>
                <c:pt idx="0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E0-4B6F-A11D-01D940F61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275328"/>
        <c:axId val="1565274848"/>
      </c:lineChart>
      <c:lineChart>
        <c:grouping val="standard"/>
        <c:varyColors val="0"/>
        <c:ser>
          <c:idx val="2"/>
          <c:order val="1"/>
          <c:tx>
            <c:strRef>
              <c:f>'ESG - Resíduos'!$A$70</c:f>
              <c:strCache>
                <c:ptCount val="1"/>
                <c:pt idx="0">
                  <c:v>Consumo/peça produzida (L)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'ESG - Resíduos'!$C$66:$O$66</c:f>
              <c:strCache>
                <c:ptCount val="13"/>
                <c:pt idx="0">
                  <c:v>Média 2025</c:v>
                </c:pt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'ESG - Resíduos'!$C$70:$O$70</c:f>
              <c:numCache>
                <c:formatCode>#,##0.00000</c:formatCode>
                <c:ptCount val="13"/>
                <c:pt idx="0">
                  <c:v>1.8458982602408896E-2</c:v>
                </c:pt>
                <c:pt idx="1">
                  <c:v>1.3718926631180376E-2</c:v>
                </c:pt>
                <c:pt idx="2">
                  <c:v>1.9489378288832588E-2</c:v>
                </c:pt>
                <c:pt idx="3">
                  <c:v>1.8593984845902349E-2</c:v>
                </c:pt>
                <c:pt idx="4">
                  <c:v>1.7209729233593391E-2</c:v>
                </c:pt>
                <c:pt idx="5">
                  <c:v>2.4522683482221055E-2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94-4A04-9548-E0075DB2C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7504639"/>
        <c:axId val="1047503679"/>
      </c:lineChart>
      <c:catAx>
        <c:axId val="156527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5274848"/>
        <c:crosses val="autoZero"/>
        <c:auto val="1"/>
        <c:lblAlgn val="ctr"/>
        <c:lblOffset val="100"/>
        <c:noMultiLvlLbl val="0"/>
      </c:catAx>
      <c:valAx>
        <c:axId val="156527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 Agua na peça fabricada - R$</a:t>
                </a:r>
              </a:p>
            </c:rich>
          </c:tx>
          <c:layout>
            <c:manualLayout>
              <c:xMode val="edge"/>
              <c:yMode val="edge"/>
              <c:x val="8.8403058809913837E-2"/>
              <c:y val="0.306888513209054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5275328"/>
        <c:crosses val="autoZero"/>
        <c:crossBetween val="between"/>
      </c:valAx>
      <c:valAx>
        <c:axId val="104750367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Consumo Óleo  por peças fabricada - Litros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7504639"/>
        <c:crosses val="max"/>
        <c:crossBetween val="between"/>
      </c:valAx>
      <c:catAx>
        <c:axId val="10475046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75036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TEMPO MÉDIO DE RECRUTAMENTO - DIAS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7709776621269982E-2"/>
          <c:y val="0.14382917701735248"/>
          <c:w val="0.94737641072457912"/>
          <c:h val="0.648422532564556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'ESG - S RH1'!$A$24</c:f>
              <c:strCache>
                <c:ptCount val="1"/>
                <c:pt idx="0">
                  <c:v>Resultado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'ESG - S RH1'!$B$21:$N$23</c:f>
              <c:multiLvlStrCache>
                <c:ptCount val="13"/>
                <c:lvl>
                  <c:pt idx="0">
                    <c:v>0</c:v>
                  </c:pt>
                  <c:pt idx="1">
                    <c:v>13/01/2026</c:v>
                  </c:pt>
                  <c:pt idx="2">
                    <c:v>00/01/1900</c:v>
                  </c:pt>
                  <c:pt idx="3">
                    <c:v>23/03/2026</c:v>
                  </c:pt>
                  <c:pt idx="4">
                    <c:v>00/01/1900</c:v>
                  </c:pt>
                  <c:pt idx="5">
                    <c:v>01/01/1900</c:v>
                  </c:pt>
                  <c:pt idx="6">
                    <c:v>01/01/1900</c:v>
                  </c:pt>
                  <c:pt idx="7">
                    <c:v>01/01/1900</c:v>
                  </c:pt>
                </c:lvl>
                <c:lvl>
                  <c:pt idx="0">
                    <c:v>0</c:v>
                  </c:pt>
                  <c:pt idx="1">
                    <c:v>02/01/2026</c:v>
                  </c:pt>
                  <c:pt idx="2">
                    <c:v>00/01/1900</c:v>
                  </c:pt>
                  <c:pt idx="3">
                    <c:v>17/03/2026</c:v>
                  </c:pt>
                  <c:pt idx="4">
                    <c:v>00/01/1900</c:v>
                  </c:pt>
                  <c:pt idx="5">
                    <c:v>01/01/1900</c:v>
                  </c:pt>
                  <c:pt idx="6">
                    <c:v>01/01/1900</c:v>
                  </c:pt>
                  <c:pt idx="7">
                    <c:v>01/01/1900</c:v>
                  </c:pt>
                </c:lvl>
                <c:lvl>
                  <c:pt idx="0">
                    <c:v>2025</c:v>
                  </c:pt>
                  <c:pt idx="1">
                    <c:v>jan</c:v>
                  </c:pt>
                  <c:pt idx="2">
                    <c:v>fev</c:v>
                  </c:pt>
                  <c:pt idx="3">
                    <c:v>mar</c:v>
                  </c:pt>
                  <c:pt idx="4">
                    <c:v>abr</c:v>
                  </c:pt>
                  <c:pt idx="5">
                    <c:v>mai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ago</c:v>
                  </c:pt>
                  <c:pt idx="9">
                    <c:v>set</c:v>
                  </c:pt>
                  <c:pt idx="10">
                    <c:v>out</c:v>
                  </c:pt>
                  <c:pt idx="11">
                    <c:v>nov</c:v>
                  </c:pt>
                  <c:pt idx="12">
                    <c:v>dez</c:v>
                  </c:pt>
                </c:lvl>
              </c:multiLvlStrCache>
            </c:multiLvlStrRef>
          </c:cat>
          <c:val>
            <c:numRef>
              <c:f>'ESG - S RH1'!$B$24:$N$24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8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7-4A4A-92EF-80B19EE6A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79647968"/>
        <c:axId val="1379647488"/>
      </c:barChart>
      <c:catAx>
        <c:axId val="137964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9647488"/>
        <c:crosses val="autoZero"/>
        <c:auto val="1"/>
        <c:lblAlgn val="ctr"/>
        <c:lblOffset val="100"/>
        <c:noMultiLvlLbl val="0"/>
      </c:catAx>
      <c:valAx>
        <c:axId val="137964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964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ABSENTEÍSMO - 2026 (Automotive + Tecnologia)</a:t>
            </a:r>
          </a:p>
          <a:p>
            <a:pPr>
              <a:defRPr/>
            </a:pPr>
            <a:r>
              <a:rPr lang="en-US"/>
              <a:t>Meta - 3%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'ESG - S RH1'!$Q$24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20-43E5-AAD3-E13020B86C2C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20-43E5-AAD3-E13020B86C2C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A20-43E5-AAD3-E13020B86C2C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A20-43E5-AAD3-E13020B86C2C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35E-4DF5-B3F0-F654618801F5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B23D-40A8-931B-F500E946AFF5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23D-40A8-931B-F500E946AF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'ESG - S RH1'!$R$21:$AF$21</c:f>
              <c:strCache>
                <c:ptCount val="15"/>
                <c:pt idx="0">
                  <c:v>2024</c:v>
                </c:pt>
                <c:pt idx="1">
                  <c:v>2025</c:v>
                </c:pt>
                <c:pt idx="2">
                  <c:v>jan</c:v>
                </c:pt>
                <c:pt idx="3">
                  <c:v>fev</c:v>
                </c:pt>
                <c:pt idx="4">
                  <c:v>mar</c:v>
                </c:pt>
                <c:pt idx="5">
                  <c:v>abr</c:v>
                </c:pt>
                <c:pt idx="6">
                  <c:v>mai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  <c:pt idx="10">
                  <c:v>set</c:v>
                </c:pt>
                <c:pt idx="11">
                  <c:v>out</c:v>
                </c:pt>
                <c:pt idx="12">
                  <c:v>nov</c:v>
                </c:pt>
                <c:pt idx="13">
                  <c:v>dez</c:v>
                </c:pt>
                <c:pt idx="14">
                  <c:v>Média</c:v>
                </c:pt>
              </c:strCache>
            </c:strRef>
          </c:cat>
          <c:val>
            <c:numRef>
              <c:f>'ESG - S RH1'!$R$24:$AF$24</c:f>
              <c:numCache>
                <c:formatCode>0.00%</c:formatCode>
                <c:ptCount val="15"/>
                <c:pt idx="0">
                  <c:v>2.1999999999999999E-2</c:v>
                </c:pt>
                <c:pt idx="1">
                  <c:v>2.8799999999999999E-2</c:v>
                </c:pt>
                <c:pt idx="2">
                  <c:v>3.0954529195385112E-2</c:v>
                </c:pt>
                <c:pt idx="3">
                  <c:v>2.2683559761868418E-2</c:v>
                </c:pt>
                <c:pt idx="4">
                  <c:v>1.9515958181734443E-2</c:v>
                </c:pt>
                <c:pt idx="5">
                  <c:v>1.8400063624795494E-2</c:v>
                </c:pt>
                <c:pt idx="6">
                  <c:v>3.8999727025647718E-2</c:v>
                </c:pt>
                <c:pt idx="7">
                  <c:v>1.2289548690845729E-2</c:v>
                </c:pt>
                <c:pt idx="8">
                  <c:v>1.8726591760299626E-3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20-43E5-AAD3-E13020B86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0708560"/>
        <c:axId val="1350709520"/>
      </c:barChart>
      <c:lineChart>
        <c:grouping val="standard"/>
        <c:varyColors val="0"/>
        <c:ser>
          <c:idx val="3"/>
          <c:order val="1"/>
          <c:tx>
            <c:strRef>
              <c:f>'ESG - S RH1'!$Q$25</c:f>
              <c:strCache>
                <c:ptCount val="1"/>
                <c:pt idx="0">
                  <c:v>Meta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'ESG - S RH1'!$R$21:$AF$21</c:f>
              <c:strCache>
                <c:ptCount val="15"/>
                <c:pt idx="0">
                  <c:v>2024</c:v>
                </c:pt>
                <c:pt idx="1">
                  <c:v>2025</c:v>
                </c:pt>
                <c:pt idx="2">
                  <c:v>jan</c:v>
                </c:pt>
                <c:pt idx="3">
                  <c:v>fev</c:v>
                </c:pt>
                <c:pt idx="4">
                  <c:v>mar</c:v>
                </c:pt>
                <c:pt idx="5">
                  <c:v>abr</c:v>
                </c:pt>
                <c:pt idx="6">
                  <c:v>mai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  <c:pt idx="10">
                  <c:v>set</c:v>
                </c:pt>
                <c:pt idx="11">
                  <c:v>out</c:v>
                </c:pt>
                <c:pt idx="12">
                  <c:v>nov</c:v>
                </c:pt>
                <c:pt idx="13">
                  <c:v>dez</c:v>
                </c:pt>
                <c:pt idx="14">
                  <c:v>Média</c:v>
                </c:pt>
              </c:strCache>
            </c:strRef>
          </c:cat>
          <c:val>
            <c:numRef>
              <c:f>'ESG - S RH1'!$R$25:$AF$25</c:f>
              <c:numCache>
                <c:formatCode>General</c:formatCode>
                <c:ptCount val="15"/>
                <c:pt idx="2" formatCode="0.0%">
                  <c:v>0.03</c:v>
                </c:pt>
                <c:pt idx="3" formatCode="0.0%">
                  <c:v>0.03</c:v>
                </c:pt>
                <c:pt idx="4" formatCode="0.0%">
                  <c:v>0.03</c:v>
                </c:pt>
                <c:pt idx="5" formatCode="0.0%">
                  <c:v>0.03</c:v>
                </c:pt>
                <c:pt idx="6" formatCode="0.0%">
                  <c:v>0.03</c:v>
                </c:pt>
                <c:pt idx="7" formatCode="0.0%">
                  <c:v>0.03</c:v>
                </c:pt>
                <c:pt idx="8" formatCode="0.0%">
                  <c:v>0.03</c:v>
                </c:pt>
                <c:pt idx="9" formatCode="0.0%">
                  <c:v>0.03</c:v>
                </c:pt>
                <c:pt idx="10" formatCode="0.0%">
                  <c:v>0.03</c:v>
                </c:pt>
                <c:pt idx="11" formatCode="0.0%">
                  <c:v>0.03</c:v>
                </c:pt>
                <c:pt idx="12" formatCode="0.0%">
                  <c:v>0.03</c:v>
                </c:pt>
                <c:pt idx="13" formatCode="0.0%">
                  <c:v>0.03</c:v>
                </c:pt>
                <c:pt idx="14" formatCode="0.0%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A20-43E5-AAD3-E13020B86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0708560"/>
        <c:axId val="1350709520"/>
      </c:lineChart>
      <c:catAx>
        <c:axId val="135070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709520"/>
        <c:crosses val="autoZero"/>
        <c:auto val="1"/>
        <c:lblAlgn val="ctr"/>
        <c:lblOffset val="100"/>
        <c:noMultiLvlLbl val="0"/>
      </c:catAx>
      <c:valAx>
        <c:axId val="135070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70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TURN OVER - 2026 (Automotive+Tecnologia) </a:t>
            </a:r>
          </a:p>
          <a:p>
            <a:pPr>
              <a:defRPr sz="1600" b="1">
                <a:solidFill>
                  <a:sysClr val="windowText" lastClr="000000"/>
                </a:solidFill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Meta - 5%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'ESG - S RH1'!$Q$54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EE2C-4C41-A205-FE322B81516B}"/>
              </c:ext>
            </c:extLst>
          </c:dPt>
          <c:dPt>
            <c:idx val="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E2C-4C41-A205-FE322B81516B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E2C-4C41-A205-FE322B81516B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E2C-4C41-A205-FE322B81516B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E2C-4C41-A205-FE322B81516B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E2C-4C41-A205-FE322B81516B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FBE-4C18-8444-1BF444A3CF6A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0C96-4145-89D3-DC211FB08ACE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E2C-4C41-A205-FE322B8151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'ESG - S RH1'!$R$50:$AF$50</c:f>
              <c:strCache>
                <c:ptCount val="14"/>
                <c:pt idx="0">
                  <c:v>2024</c:v>
                </c:pt>
                <c:pt idx="1">
                  <c:v>2025</c:v>
                </c:pt>
                <c:pt idx="2">
                  <c:v>jan</c:v>
                </c:pt>
                <c:pt idx="3">
                  <c:v>fev</c:v>
                </c:pt>
                <c:pt idx="4">
                  <c:v>mar</c:v>
                </c:pt>
                <c:pt idx="5">
                  <c:v>abr</c:v>
                </c:pt>
                <c:pt idx="6">
                  <c:v>mai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  <c:pt idx="10">
                  <c:v>set</c:v>
                </c:pt>
                <c:pt idx="11">
                  <c:v>out</c:v>
                </c:pt>
                <c:pt idx="12">
                  <c:v>nov</c:v>
                </c:pt>
                <c:pt idx="13">
                  <c:v>dez</c:v>
                </c:pt>
              </c:strCache>
            </c:strRef>
          </c:cat>
          <c:val>
            <c:numRef>
              <c:f>'ESG - S RH1'!$R$54:$AF$54</c:f>
              <c:numCache>
                <c:formatCode>0.00</c:formatCode>
                <c:ptCount val="15"/>
                <c:pt idx="0" formatCode="General">
                  <c:v>6.94</c:v>
                </c:pt>
                <c:pt idx="1">
                  <c:v>4.08</c:v>
                </c:pt>
                <c:pt idx="2">
                  <c:v>5.8823529411764701</c:v>
                </c:pt>
                <c:pt idx="3" formatCode="#,##0.00">
                  <c:v>3.125</c:v>
                </c:pt>
                <c:pt idx="4" formatCode="#,##0.00">
                  <c:v>5.3191489361702127</c:v>
                </c:pt>
                <c:pt idx="5" formatCode="#,##0.00">
                  <c:v>2.2222222222222223</c:v>
                </c:pt>
                <c:pt idx="6" formatCode="#,##0.00">
                  <c:v>1.1363636363636365</c:v>
                </c:pt>
                <c:pt idx="7" formatCode="#,##0.00">
                  <c:v>8.9743589743589745</c:v>
                </c:pt>
                <c:pt idx="8" formatCode="#,##0.00">
                  <c:v>0</c:v>
                </c:pt>
                <c:pt idx="14">
                  <c:v>3.808492387184502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E2C-4C41-A205-FE322B815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62691439"/>
        <c:axId val="2020300575"/>
      </c:barChart>
      <c:lineChart>
        <c:grouping val="standard"/>
        <c:varyColors val="0"/>
        <c:ser>
          <c:idx val="4"/>
          <c:order val="1"/>
          <c:tx>
            <c:strRef>
              <c:f>'ESG - S RH1'!$Q$55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'ESG - S RH1'!$R$50:$AF$50</c:f>
              <c:strCache>
                <c:ptCount val="14"/>
                <c:pt idx="0">
                  <c:v>2024</c:v>
                </c:pt>
                <c:pt idx="1">
                  <c:v>2025</c:v>
                </c:pt>
                <c:pt idx="2">
                  <c:v>jan</c:v>
                </c:pt>
                <c:pt idx="3">
                  <c:v>fev</c:v>
                </c:pt>
                <c:pt idx="4">
                  <c:v>mar</c:v>
                </c:pt>
                <c:pt idx="5">
                  <c:v>abr</c:v>
                </c:pt>
                <c:pt idx="6">
                  <c:v>mai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  <c:pt idx="10">
                  <c:v>set</c:v>
                </c:pt>
                <c:pt idx="11">
                  <c:v>out</c:v>
                </c:pt>
                <c:pt idx="12">
                  <c:v>nov</c:v>
                </c:pt>
                <c:pt idx="13">
                  <c:v>dez</c:v>
                </c:pt>
              </c:strCache>
            </c:strRef>
          </c:cat>
          <c:val>
            <c:numRef>
              <c:f>'ESG - S RH1'!$R$55:$AF$55</c:f>
              <c:numCache>
                <c:formatCode>General</c:formatCode>
                <c:ptCount val="15"/>
                <c:pt idx="2" formatCode="0.00">
                  <c:v>5</c:v>
                </c:pt>
                <c:pt idx="3" formatCode="0.00">
                  <c:v>5</c:v>
                </c:pt>
                <c:pt idx="4" formatCode="0.00">
                  <c:v>5</c:v>
                </c:pt>
                <c:pt idx="5" formatCode="0.00">
                  <c:v>5</c:v>
                </c:pt>
                <c:pt idx="6" formatCode="0.00">
                  <c:v>5</c:v>
                </c:pt>
                <c:pt idx="7" formatCode="0.00">
                  <c:v>5</c:v>
                </c:pt>
                <c:pt idx="8" formatCode="0.00">
                  <c:v>5</c:v>
                </c:pt>
                <c:pt idx="9" formatCode="0.00">
                  <c:v>5</c:v>
                </c:pt>
                <c:pt idx="10" formatCode="0.00">
                  <c:v>5</c:v>
                </c:pt>
                <c:pt idx="11" formatCode="0.00">
                  <c:v>5</c:v>
                </c:pt>
                <c:pt idx="12" formatCode="0.00">
                  <c:v>5</c:v>
                </c:pt>
                <c:pt idx="13" formatCode="0.0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E2C-4C41-A205-FE322B815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2691439"/>
        <c:axId val="2020300575"/>
      </c:lineChart>
      <c:catAx>
        <c:axId val="146269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0300575"/>
        <c:crosses val="autoZero"/>
        <c:auto val="1"/>
        <c:lblAlgn val="ctr"/>
        <c:lblOffset val="100"/>
        <c:noMultiLvlLbl val="0"/>
      </c:catAx>
      <c:valAx>
        <c:axId val="202030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269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HORAS TREINAMENTO (Tecnologia+Automotivo)- 2026 </a:t>
            </a:r>
          </a:p>
          <a:p>
            <a:pPr>
              <a:defRPr b="1">
                <a:solidFill>
                  <a:sysClr val="windowText" lastClr="000000"/>
                </a:solidFill>
              </a:defRPr>
            </a:pPr>
            <a:r>
              <a:rPr lang="en-US" b="1">
                <a:solidFill>
                  <a:sysClr val="windowText" lastClr="000000"/>
                </a:solidFill>
              </a:rPr>
              <a:t>Meta - 720hs/ano</a:t>
            </a: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'ESG - S RH1'!$A$52</c:f>
              <c:strCache>
                <c:ptCount val="1"/>
                <c:pt idx="0">
                  <c:v>Hs Trein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'ESG - S RH1'!$C$51:$N$51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'ESG - S RH1'!$C$52:$N$52</c:f>
              <c:numCache>
                <c:formatCode>#,##0.00</c:formatCode>
                <c:ptCount val="12"/>
                <c:pt idx="0">
                  <c:v>98</c:v>
                </c:pt>
                <c:pt idx="1">
                  <c:v>8</c:v>
                </c:pt>
                <c:pt idx="2">
                  <c:v>132</c:v>
                </c:pt>
                <c:pt idx="3">
                  <c:v>94</c:v>
                </c:pt>
                <c:pt idx="4">
                  <c:v>267.05</c:v>
                </c:pt>
                <c:pt idx="5">
                  <c:v>25.25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15-4307-BB81-45F113EFB5B0}"/>
            </c:ext>
          </c:extLst>
        </c:ser>
        <c:ser>
          <c:idx val="1"/>
          <c:order val="1"/>
          <c:tx>
            <c:strRef>
              <c:f>'ESG - S RH1'!$A$53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'ESG - S RH1'!$C$51:$N$51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'ESG - S RH1'!$C$53:$N$53</c:f>
              <c:numCache>
                <c:formatCode>#,##0.00</c:formatCode>
                <c:ptCount val="12"/>
                <c:pt idx="0">
                  <c:v>98</c:v>
                </c:pt>
                <c:pt idx="1">
                  <c:v>106</c:v>
                </c:pt>
                <c:pt idx="2">
                  <c:v>238</c:v>
                </c:pt>
                <c:pt idx="3">
                  <c:v>332</c:v>
                </c:pt>
                <c:pt idx="4">
                  <c:v>599.04999999999995</c:v>
                </c:pt>
                <c:pt idx="5">
                  <c:v>624.29999999999995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15-4307-BB81-45F113EFB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45230560"/>
        <c:axId val="1545231040"/>
      </c:barChart>
      <c:lineChart>
        <c:grouping val="standard"/>
        <c:varyColors val="0"/>
        <c:ser>
          <c:idx val="2"/>
          <c:order val="2"/>
          <c:tx>
            <c:strRef>
              <c:f>'ESG - S RH1'!$A$54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'ESG - S RH1'!$C$51:$N$51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'ESG - S RH1'!$C$54:$N$54</c:f>
              <c:numCache>
                <c:formatCode>0</c:formatCode>
                <c:ptCount val="12"/>
                <c:pt idx="0">
                  <c:v>720</c:v>
                </c:pt>
                <c:pt idx="1">
                  <c:v>720</c:v>
                </c:pt>
                <c:pt idx="2">
                  <c:v>720</c:v>
                </c:pt>
                <c:pt idx="3">
                  <c:v>720</c:v>
                </c:pt>
                <c:pt idx="4">
                  <c:v>720</c:v>
                </c:pt>
                <c:pt idx="5">
                  <c:v>720</c:v>
                </c:pt>
                <c:pt idx="6">
                  <c:v>720</c:v>
                </c:pt>
                <c:pt idx="7">
                  <c:v>720</c:v>
                </c:pt>
                <c:pt idx="8">
                  <c:v>720</c:v>
                </c:pt>
                <c:pt idx="9">
                  <c:v>720</c:v>
                </c:pt>
                <c:pt idx="10">
                  <c:v>720</c:v>
                </c:pt>
                <c:pt idx="11">
                  <c:v>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15-4307-BB81-45F113EFB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230560"/>
        <c:axId val="1545231040"/>
      </c:lineChart>
      <c:catAx>
        <c:axId val="154523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5231040"/>
        <c:crosses val="autoZero"/>
        <c:auto val="1"/>
        <c:lblAlgn val="ctr"/>
        <c:lblOffset val="100"/>
        <c:noMultiLvlLbl val="0"/>
      </c:catAx>
      <c:valAx>
        <c:axId val="154523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523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CUSTO - EQUIPAMENTOS DE PROTEÇÃO / DISTRIBUIÇÃO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'ESG - S RH1'!$A$77</c:f>
              <c:strCache>
                <c:ptCount val="1"/>
                <c:pt idx="0">
                  <c:v>Media R$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overflow" horzOverflow="overflow" wrap="square" lIns="38100" tIns="19050" rIns="38100" bIns="19050" anchor="ctr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'ESG - S RH1'!$B$76:$N$76</c:f>
              <c:strCache>
                <c:ptCount val="13"/>
                <c:pt idx="0">
                  <c:v>2025</c:v>
                </c:pt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'ESG - S RH1'!$B$77:$N$77</c:f>
              <c:numCache>
                <c:formatCode>#,##0.00</c:formatCode>
                <c:ptCount val="13"/>
                <c:pt idx="0">
                  <c:v>3408.48</c:v>
                </c:pt>
                <c:pt idx="1">
                  <c:v>4337.8999999999996</c:v>
                </c:pt>
                <c:pt idx="2">
                  <c:v>3704.5</c:v>
                </c:pt>
                <c:pt idx="3">
                  <c:v>4679.05</c:v>
                </c:pt>
                <c:pt idx="4">
                  <c:v>4184.55</c:v>
                </c:pt>
                <c:pt idx="5">
                  <c:v>3998.23</c:v>
                </c:pt>
                <c:pt idx="6">
                  <c:v>2741.8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5-459C-B816-BEB753A6C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623263"/>
        <c:axId val="464615583"/>
      </c:barChart>
      <c:lineChart>
        <c:grouping val="standard"/>
        <c:varyColors val="0"/>
        <c:ser>
          <c:idx val="1"/>
          <c:order val="1"/>
          <c:tx>
            <c:strRef>
              <c:f>'ESG - S RH1'!$A$78</c:f>
              <c:strCache>
                <c:ptCount val="1"/>
                <c:pt idx="0">
                  <c:v>EPI's Un.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'ESG - S RH1'!$B$76:$N$76</c:f>
              <c:strCache>
                <c:ptCount val="13"/>
                <c:pt idx="0">
                  <c:v>2025</c:v>
                </c:pt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'ESG - S RH1'!$B$78:$N$78</c:f>
              <c:numCache>
                <c:formatCode>#,##0</c:formatCode>
                <c:ptCount val="13"/>
                <c:pt idx="0" formatCode="General">
                  <c:v>124</c:v>
                </c:pt>
                <c:pt idx="1">
                  <c:v>205</c:v>
                </c:pt>
                <c:pt idx="2">
                  <c:v>163</c:v>
                </c:pt>
                <c:pt idx="3">
                  <c:v>35</c:v>
                </c:pt>
                <c:pt idx="4">
                  <c:v>81</c:v>
                </c:pt>
                <c:pt idx="5">
                  <c:v>237</c:v>
                </c:pt>
                <c:pt idx="6">
                  <c:v>96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25-459C-B816-BEB753A6C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8596495"/>
        <c:axId val="1138596015"/>
      </c:lineChart>
      <c:catAx>
        <c:axId val="46462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4615583"/>
        <c:crosses val="autoZero"/>
        <c:auto val="1"/>
        <c:lblAlgn val="ctr"/>
        <c:lblOffset val="100"/>
        <c:noMultiLvlLbl val="0"/>
      </c:catAx>
      <c:valAx>
        <c:axId val="46461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4623263"/>
        <c:crosses val="autoZero"/>
        <c:crossBetween val="between"/>
      </c:valAx>
      <c:valAx>
        <c:axId val="113859601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8596495"/>
        <c:crosses val="max"/>
        <c:crossBetween val="between"/>
      </c:valAx>
      <c:catAx>
        <c:axId val="11385964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85960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REDUÇÃO DE CUSTO - R$ - GESTÃO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GESTÃO!$A$25</c:f>
              <c:strCache>
                <c:ptCount val="1"/>
                <c:pt idx="0">
                  <c:v>Redução Mensal R$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GESTÃO!$D$22:$O$22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GESTÃO!$D$25:$O$25</c:f>
              <c:numCache>
                <c:formatCode>#,##0</c:formatCode>
                <c:ptCount val="12"/>
                <c:pt idx="0">
                  <c:v>15523.75</c:v>
                </c:pt>
                <c:pt idx="1">
                  <c:v>10354.75</c:v>
                </c:pt>
                <c:pt idx="2">
                  <c:v>6425.85</c:v>
                </c:pt>
                <c:pt idx="3">
                  <c:v>5685.32</c:v>
                </c:pt>
                <c:pt idx="4">
                  <c:v>3350</c:v>
                </c:pt>
                <c:pt idx="5">
                  <c:v>680</c:v>
                </c:pt>
                <c:pt idx="6">
                  <c:v>2977.89</c:v>
                </c:pt>
                <c:pt idx="7">
                  <c:v>2977.89</c:v>
                </c:pt>
                <c:pt idx="8">
                  <c:v>2977.89</c:v>
                </c:pt>
                <c:pt idx="9">
                  <c:v>2977.89</c:v>
                </c:pt>
                <c:pt idx="10">
                  <c:v>2977.89</c:v>
                </c:pt>
                <c:pt idx="11">
                  <c:v>2977.89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DE-460B-B8D7-7A262ECC1F49}"/>
            </c:ext>
          </c:extLst>
        </c:ser>
        <c:ser>
          <c:idx val="2"/>
          <c:order val="2"/>
          <c:tx>
            <c:strRef>
              <c:f>GESTÃO!$A$24</c:f>
              <c:strCache>
                <c:ptCount val="1"/>
                <c:pt idx="0">
                  <c:v>Previsão Redução Mes R$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GESTÃO!$D$24:$O$24</c:f>
              <c:numCache>
                <c:formatCode>#,##0.00</c:formatCode>
                <c:ptCount val="12"/>
                <c:pt idx="0">
                  <c:v>74592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C1-4C9A-BE4A-2A820D7E5915}"/>
            </c:ext>
          </c:extLst>
        </c:ser>
        <c:ser>
          <c:idx val="3"/>
          <c:order val="3"/>
          <c:tx>
            <c:strRef>
              <c:f>GESTÃO!$A$26</c:f>
              <c:strCache>
                <c:ptCount val="1"/>
                <c:pt idx="0">
                  <c:v>Redução Acumulada R$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GESTÃO!$D$22:$O$22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GESTÃO!$D$26:$O$26</c:f>
              <c:numCache>
                <c:formatCode>#,##0</c:formatCode>
                <c:ptCount val="12"/>
                <c:pt idx="0">
                  <c:v>15523.75</c:v>
                </c:pt>
                <c:pt idx="1">
                  <c:v>25878.5</c:v>
                </c:pt>
                <c:pt idx="2">
                  <c:v>32304.35</c:v>
                </c:pt>
                <c:pt idx="3">
                  <c:v>37989.67</c:v>
                </c:pt>
                <c:pt idx="4">
                  <c:v>41339.67</c:v>
                </c:pt>
                <c:pt idx="5">
                  <c:v>42019.67</c:v>
                </c:pt>
                <c:pt idx="6">
                  <c:v>44997.56</c:v>
                </c:pt>
                <c:pt idx="7">
                  <c:v>47975.45</c:v>
                </c:pt>
                <c:pt idx="8">
                  <c:v>50953.34</c:v>
                </c:pt>
                <c:pt idx="9">
                  <c:v>53931.229999999996</c:v>
                </c:pt>
                <c:pt idx="10">
                  <c:v>56909.119999999995</c:v>
                </c:pt>
                <c:pt idx="11">
                  <c:v>59887.009999999995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1-41BC-B484-655069BA6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7980079"/>
        <c:axId val="1377973359"/>
      </c:barChart>
      <c:lineChart>
        <c:grouping val="standard"/>
        <c:varyColors val="0"/>
        <c:ser>
          <c:idx val="0"/>
          <c:order val="0"/>
          <c:tx>
            <c:strRef>
              <c:f>GESTÃO!$A$23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GESTÃO!$D$22:$O$22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GESTÃO!$D$23:$O$23</c:f>
              <c:numCache>
                <c:formatCode>#,##0.00</c:formatCode>
                <c:ptCount val="12"/>
                <c:pt idx="0">
                  <c:v>1529281.38</c:v>
                </c:pt>
                <c:pt idx="1">
                  <c:v>1529281.38</c:v>
                </c:pt>
                <c:pt idx="2">
                  <c:v>1529281.38</c:v>
                </c:pt>
                <c:pt idx="3">
                  <c:v>1529281.38</c:v>
                </c:pt>
                <c:pt idx="4">
                  <c:v>1529281.38</c:v>
                </c:pt>
                <c:pt idx="5">
                  <c:v>1529281.38</c:v>
                </c:pt>
                <c:pt idx="6">
                  <c:v>1529281.38</c:v>
                </c:pt>
                <c:pt idx="7">
                  <c:v>1529281.38</c:v>
                </c:pt>
                <c:pt idx="8">
                  <c:v>1529281.38</c:v>
                </c:pt>
                <c:pt idx="9">
                  <c:v>1529281.38</c:v>
                </c:pt>
                <c:pt idx="10">
                  <c:v>1529281.38</c:v>
                </c:pt>
                <c:pt idx="11">
                  <c:v>1529281.38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DE-460B-B8D7-7A262ECC1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253519"/>
        <c:axId val="1527251599"/>
      </c:lineChart>
      <c:catAx>
        <c:axId val="152725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7251599"/>
        <c:crosses val="autoZero"/>
        <c:auto val="1"/>
        <c:lblAlgn val="ctr"/>
        <c:lblOffset val="100"/>
        <c:noMultiLvlLbl val="0"/>
      </c:catAx>
      <c:valAx>
        <c:axId val="152725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MELHORIAS - VALORES EM REAIS R$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7253519"/>
        <c:crosses val="autoZero"/>
        <c:crossBetween val="between"/>
      </c:valAx>
      <c:valAx>
        <c:axId val="1377973359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7980079"/>
        <c:crosses val="max"/>
        <c:crossBetween val="between"/>
      </c:valAx>
      <c:catAx>
        <c:axId val="13779800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779733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ACIDENTES - Taxa de Gravidade - Dias Perdidos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2846076206209023E-2"/>
          <c:y val="0.12633628179637338"/>
          <c:w val="0.90085232200092469"/>
          <c:h val="0.7266894532183739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GESTÃO!$A$60</c:f>
              <c:strCache>
                <c:ptCount val="1"/>
                <c:pt idx="0">
                  <c:v>Resultado Mensal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GESTÃO!$D$58:$O$58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GESTÃO!$D$60:$O$60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#,##0.00">
                  <c:v>3729.4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28-4028-B476-4200E0CA7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58766143"/>
        <c:axId val="1258763743"/>
      </c:barChart>
      <c:lineChart>
        <c:grouping val="standard"/>
        <c:varyColors val="0"/>
        <c:ser>
          <c:idx val="0"/>
          <c:order val="0"/>
          <c:tx>
            <c:strRef>
              <c:f>GESTÃO!$A$59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GESTÃO!$D$58:$O$58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GESTÃO!$D$59:$O$59</c:f>
              <c:numCache>
                <c:formatCode>#,##0.00</c:formatCode>
                <c:ptCount val="12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28-4028-B476-4200E0CA7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8766143"/>
        <c:axId val="1258763743"/>
      </c:lineChart>
      <c:catAx>
        <c:axId val="125876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8763743"/>
        <c:crosses val="autoZero"/>
        <c:auto val="1"/>
        <c:lblAlgn val="ctr"/>
        <c:lblOffset val="100"/>
        <c:noMultiLvlLbl val="0"/>
      </c:catAx>
      <c:valAx>
        <c:axId val="125876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TAXA DE GRAVIDADE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876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Resultado - OEE  x Peformance/Qualidade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GESTÃO!$A$90</c:f>
              <c:strCache>
                <c:ptCount val="1"/>
                <c:pt idx="0">
                  <c:v>Resultado Mensal %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0CA-4107-A194-4BC45744F8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GESTÃO!$B$88:$O$88</c:f>
              <c:strCache>
                <c:ptCount val="14"/>
                <c:pt idx="1">
                  <c:v>Média 2025</c:v>
                </c:pt>
                <c:pt idx="2">
                  <c:v>jan</c:v>
                </c:pt>
                <c:pt idx="3">
                  <c:v>fev</c:v>
                </c:pt>
                <c:pt idx="4">
                  <c:v>mar</c:v>
                </c:pt>
                <c:pt idx="5">
                  <c:v>abr</c:v>
                </c:pt>
                <c:pt idx="6">
                  <c:v>mai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  <c:pt idx="10">
                  <c:v>set</c:v>
                </c:pt>
                <c:pt idx="11">
                  <c:v>out</c:v>
                </c:pt>
                <c:pt idx="12">
                  <c:v>nov</c:v>
                </c:pt>
                <c:pt idx="13">
                  <c:v>dez</c:v>
                </c:pt>
              </c:strCache>
            </c:strRef>
          </c:cat>
          <c:val>
            <c:numRef>
              <c:f>GESTÃO!$B$90:$O$90</c:f>
              <c:numCache>
                <c:formatCode>General</c:formatCode>
                <c:ptCount val="14"/>
                <c:pt idx="1">
                  <c:v>59.39</c:v>
                </c:pt>
                <c:pt idx="2" formatCode="#,##0.00">
                  <c:v>60.47</c:v>
                </c:pt>
                <c:pt idx="3" formatCode="#,##0.00">
                  <c:v>61.5</c:v>
                </c:pt>
                <c:pt idx="4" formatCode="#,##0.00">
                  <c:v>61.66</c:v>
                </c:pt>
                <c:pt idx="5" formatCode="#,##0.00">
                  <c:v>64.569999999999993</c:v>
                </c:pt>
                <c:pt idx="6" formatCode="#,##0.00">
                  <c:v>57.89</c:v>
                </c:pt>
                <c:pt idx="7" formatCode="#,##0.00">
                  <c:v>61.59</c:v>
                </c:pt>
                <c:pt idx="8" formatCode="#,##0.00">
                  <c:v>26.24</c:v>
                </c:pt>
                <c:pt idx="9" formatCode="#,##0.00">
                  <c:v>53.28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A8-4012-90F3-F1BBE04980C5}"/>
            </c:ext>
          </c:extLst>
        </c:ser>
        <c:ser>
          <c:idx val="2"/>
          <c:order val="2"/>
          <c:tx>
            <c:strRef>
              <c:f>GESTÃO!$A$91</c:f>
              <c:strCache>
                <c:ptCount val="1"/>
                <c:pt idx="0">
                  <c:v>Resultado Mensal % (PerfxQual)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GESTÃO!$B$88:$O$88</c:f>
              <c:strCache>
                <c:ptCount val="14"/>
                <c:pt idx="1">
                  <c:v>Média 2025</c:v>
                </c:pt>
                <c:pt idx="2">
                  <c:v>jan</c:v>
                </c:pt>
                <c:pt idx="3">
                  <c:v>fev</c:v>
                </c:pt>
                <c:pt idx="4">
                  <c:v>mar</c:v>
                </c:pt>
                <c:pt idx="5">
                  <c:v>abr</c:v>
                </c:pt>
                <c:pt idx="6">
                  <c:v>mai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  <c:pt idx="10">
                  <c:v>set</c:v>
                </c:pt>
                <c:pt idx="11">
                  <c:v>out</c:v>
                </c:pt>
                <c:pt idx="12">
                  <c:v>nov</c:v>
                </c:pt>
                <c:pt idx="13">
                  <c:v>dez</c:v>
                </c:pt>
              </c:strCache>
            </c:strRef>
          </c:cat>
          <c:val>
            <c:numRef>
              <c:f>GESTÃO!$B$91:$O$91</c:f>
              <c:numCache>
                <c:formatCode>General</c:formatCode>
                <c:ptCount val="14"/>
                <c:pt idx="2" formatCode="#,##0.00">
                  <c:v>83.19</c:v>
                </c:pt>
                <c:pt idx="3" formatCode="#,##0.00">
                  <c:v>81.540000000000006</c:v>
                </c:pt>
                <c:pt idx="4" formatCode="#,##0.00">
                  <c:v>82.13</c:v>
                </c:pt>
                <c:pt idx="5" formatCode="#,##0.00">
                  <c:v>83.45</c:v>
                </c:pt>
                <c:pt idx="6" formatCode="#,##0.00">
                  <c:v>81.61</c:v>
                </c:pt>
                <c:pt idx="7" formatCode="#,##0.00">
                  <c:v>83.04</c:v>
                </c:pt>
                <c:pt idx="8" formatCode="#,##0.00">
                  <c:v>52.238176000000003</c:v>
                </c:pt>
                <c:pt idx="9" formatCode="#,##0">
                  <c:v>77.73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A8-4012-90F3-F1BBE0498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3806863"/>
        <c:axId val="2003812143"/>
      </c:barChart>
      <c:lineChart>
        <c:grouping val="standard"/>
        <c:varyColors val="0"/>
        <c:ser>
          <c:idx val="0"/>
          <c:order val="0"/>
          <c:tx>
            <c:strRef>
              <c:f>GESTÃO!$A$89</c:f>
              <c:strCache>
                <c:ptCount val="1"/>
                <c:pt idx="0">
                  <c:v>Meta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GESTÃO!$B$88:$O$88</c:f>
              <c:strCache>
                <c:ptCount val="14"/>
                <c:pt idx="1">
                  <c:v>Média 2025</c:v>
                </c:pt>
                <c:pt idx="2">
                  <c:v>jan</c:v>
                </c:pt>
                <c:pt idx="3">
                  <c:v>fev</c:v>
                </c:pt>
                <c:pt idx="4">
                  <c:v>mar</c:v>
                </c:pt>
                <c:pt idx="5">
                  <c:v>abr</c:v>
                </c:pt>
                <c:pt idx="6">
                  <c:v>mai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  <c:pt idx="10">
                  <c:v>set</c:v>
                </c:pt>
                <c:pt idx="11">
                  <c:v>out</c:v>
                </c:pt>
                <c:pt idx="12">
                  <c:v>nov</c:v>
                </c:pt>
                <c:pt idx="13">
                  <c:v>dez</c:v>
                </c:pt>
              </c:strCache>
            </c:strRef>
          </c:cat>
          <c:val>
            <c:numRef>
              <c:f>GESTÃO!$B$89:$O$89</c:f>
              <c:numCache>
                <c:formatCode>#,##0.00</c:formatCode>
                <c:ptCount val="14"/>
                <c:pt idx="0" formatCode="#,##0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68-4B23-B991-A2A558BAD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3806863"/>
        <c:axId val="2003812143"/>
      </c:lineChart>
      <c:lineChart>
        <c:grouping val="standard"/>
        <c:varyColors val="0"/>
        <c:ser>
          <c:idx val="3"/>
          <c:order val="3"/>
          <c:tx>
            <c:strRef>
              <c:f>GESTÃO!$A$92</c:f>
              <c:strCache>
                <c:ptCount val="1"/>
                <c:pt idx="0">
                  <c:v>Peças Produzidas Unid.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GESTÃO!$B$88:$O$88</c:f>
              <c:strCache>
                <c:ptCount val="14"/>
                <c:pt idx="1">
                  <c:v>Média 2025</c:v>
                </c:pt>
                <c:pt idx="2">
                  <c:v>jan</c:v>
                </c:pt>
                <c:pt idx="3">
                  <c:v>fev</c:v>
                </c:pt>
                <c:pt idx="4">
                  <c:v>mar</c:v>
                </c:pt>
                <c:pt idx="5">
                  <c:v>abr</c:v>
                </c:pt>
                <c:pt idx="6">
                  <c:v>mai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  <c:pt idx="10">
                  <c:v>set</c:v>
                </c:pt>
                <c:pt idx="11">
                  <c:v>out</c:v>
                </c:pt>
                <c:pt idx="12">
                  <c:v>nov</c:v>
                </c:pt>
                <c:pt idx="13">
                  <c:v>dez</c:v>
                </c:pt>
              </c:strCache>
            </c:strRef>
          </c:cat>
          <c:val>
            <c:numRef>
              <c:f>GESTÃO!$B$92:$O$92</c:f>
              <c:numCache>
                <c:formatCode>General</c:formatCode>
                <c:ptCount val="14"/>
                <c:pt idx="2" formatCode="#,##0">
                  <c:v>72892</c:v>
                </c:pt>
                <c:pt idx="3" formatCode="#,##0">
                  <c:v>61572</c:v>
                </c:pt>
                <c:pt idx="4" formatCode="#,##0">
                  <c:v>64537</c:v>
                </c:pt>
                <c:pt idx="5" formatCode="#,##0">
                  <c:v>63111</c:v>
                </c:pt>
                <c:pt idx="6" formatCode="#,##0">
                  <c:v>57090</c:v>
                </c:pt>
                <c:pt idx="7" formatCode="#,##0">
                  <c:v>37376</c:v>
                </c:pt>
                <c:pt idx="8" formatCode="#,##0">
                  <c:v>3069</c:v>
                </c:pt>
                <c:pt idx="9" formatCode="#,##0">
                  <c:v>23085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2A8-4012-90F3-F1BBE0498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373247"/>
        <c:axId val="242383807"/>
      </c:lineChart>
      <c:catAx>
        <c:axId val="2003806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3812143"/>
        <c:crosses val="autoZero"/>
        <c:auto val="1"/>
        <c:lblAlgn val="ctr"/>
        <c:lblOffset val="100"/>
        <c:noMultiLvlLbl val="0"/>
      </c:catAx>
      <c:valAx>
        <c:axId val="200381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Resultado Mensal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3806863"/>
        <c:crosses val="autoZero"/>
        <c:crossBetween val="between"/>
      </c:valAx>
      <c:valAx>
        <c:axId val="242383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2373247"/>
        <c:crosses val="max"/>
        <c:crossBetween val="between"/>
      </c:valAx>
      <c:catAx>
        <c:axId val="2423732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23838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1-8730-457B-9C5F-611AA3688BA8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8730-457B-9C5F-611AA3688BA8}"/>
              </c:ext>
            </c:extLst>
          </c:dPt>
          <c:dLbls>
            <c:dLbl>
              <c:idx val="1"/>
              <c:spPr/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730-457B-9C5F-611AA3688BA8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[3]PA.Produtividade!$K$4:$L$4</c:f>
              <c:strCache>
                <c:ptCount val="2"/>
                <c:pt idx="0">
                  <c:v>REALIZADAS </c:v>
                </c:pt>
                <c:pt idx="1">
                  <c:v>ABERTAS</c:v>
                </c:pt>
              </c:strCache>
            </c:strRef>
          </c:cat>
          <c:val>
            <c:numRef>
              <c:f>[3]PA.Produtividade!$K$5:$L$5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30-457B-9C5F-611AA3688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5"/>
        <c:axId val="570257792"/>
        <c:axId val="570259328"/>
      </c:barChart>
      <c:catAx>
        <c:axId val="570257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pt-BR"/>
          </a:p>
        </c:txPr>
        <c:crossAx val="570259328"/>
        <c:crosses val="autoZero"/>
        <c:auto val="1"/>
        <c:lblAlgn val="ctr"/>
        <c:lblOffset val="100"/>
        <c:noMultiLvlLbl val="0"/>
      </c:catAx>
      <c:valAx>
        <c:axId val="57025932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702577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REDUÇÃO DE CUSTO - R$ - MATERIAIS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COMPRAS!$A$25</c:f>
              <c:strCache>
                <c:ptCount val="1"/>
                <c:pt idx="0">
                  <c:v>Redução Mês R$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COMPRAS!$B$22:$O$22</c:f>
              <c:strCache>
                <c:ptCount val="14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  <c:pt idx="13">
                  <c:v>Total R$</c:v>
                </c:pt>
              </c:strCache>
            </c:strRef>
          </c:cat>
          <c:val>
            <c:numRef>
              <c:f>COMPRAS!$B$25:$O$25</c:f>
              <c:numCache>
                <c:formatCode>#,##0.00</c:formatCode>
                <c:ptCount val="14"/>
                <c:pt idx="1">
                  <c:v>0</c:v>
                </c:pt>
                <c:pt idx="2">
                  <c:v>0</c:v>
                </c:pt>
                <c:pt idx="3">
                  <c:v>3071.1</c:v>
                </c:pt>
                <c:pt idx="4">
                  <c:v>2330.5700000000002</c:v>
                </c:pt>
                <c:pt idx="5">
                  <c:v>680</c:v>
                </c:pt>
                <c:pt idx="6">
                  <c:v>680</c:v>
                </c:pt>
                <c:pt idx="7">
                  <c:v>2977.89</c:v>
                </c:pt>
                <c:pt idx="8">
                  <c:v>2977.89</c:v>
                </c:pt>
                <c:pt idx="9">
                  <c:v>2977.89</c:v>
                </c:pt>
                <c:pt idx="10">
                  <c:v>2977.89</c:v>
                </c:pt>
                <c:pt idx="11">
                  <c:v>2977.89</c:v>
                </c:pt>
                <c:pt idx="12">
                  <c:v>2977.89</c:v>
                </c:pt>
                <c:pt idx="13" formatCode="#,##0">
                  <c:v>24629.01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5A-46C1-B1CD-8D4DA6940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7253519"/>
        <c:axId val="1527251599"/>
      </c:barChart>
      <c:lineChart>
        <c:grouping val="standard"/>
        <c:varyColors val="0"/>
        <c:ser>
          <c:idx val="0"/>
          <c:order val="0"/>
          <c:tx>
            <c:strRef>
              <c:f>COMPRAS!$A$23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COMPRAS!$B$22:$O$22</c:f>
              <c:strCache>
                <c:ptCount val="14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  <c:pt idx="13">
                  <c:v>Total R$</c:v>
                </c:pt>
              </c:strCache>
            </c:strRef>
          </c:cat>
          <c:val>
            <c:numRef>
              <c:f>COMPRAS!$B$23:$O$23</c:f>
              <c:numCache>
                <c:formatCode>#,##0.00</c:formatCode>
                <c:ptCount val="14"/>
                <c:pt idx="0">
                  <c:v>750000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5A-46C1-B1CD-8D4DA6940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253519"/>
        <c:axId val="1527251599"/>
      </c:lineChart>
      <c:catAx>
        <c:axId val="152725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7251599"/>
        <c:crosses val="autoZero"/>
        <c:auto val="1"/>
        <c:lblAlgn val="ctr"/>
        <c:lblOffset val="100"/>
        <c:noMultiLvlLbl val="0"/>
      </c:catAx>
      <c:valAx>
        <c:axId val="1527251599"/>
        <c:scaling>
          <c:orientation val="minMax"/>
          <c:max val="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725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IQF GERAL - Meta - 90%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COMPRAS!$A$58</c:f>
              <c:strCache>
                <c:ptCount val="1"/>
                <c:pt idx="0">
                  <c:v>IQF Geral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COMPRAS!$B$56:$N$56</c:f>
              <c:strCache>
                <c:ptCount val="13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COMPRAS!$B$58:$N$58</c:f>
              <c:numCache>
                <c:formatCode>#,##0.00</c:formatCode>
                <c:ptCount val="13"/>
                <c:pt idx="1">
                  <c:v>90.5</c:v>
                </c:pt>
                <c:pt idx="2">
                  <c:v>92.33</c:v>
                </c:pt>
                <c:pt idx="3">
                  <c:v>94.91</c:v>
                </c:pt>
                <c:pt idx="4">
                  <c:v>96.63</c:v>
                </c:pt>
                <c:pt idx="5" formatCode="#,##0">
                  <c:v>95.67</c:v>
                </c:pt>
                <c:pt idx="6" formatCode="#,##0">
                  <c:v>94.72</c:v>
                </c:pt>
                <c:pt idx="7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15-4BB7-A512-61C155A8F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71488063"/>
        <c:axId val="1371486623"/>
      </c:barChart>
      <c:lineChart>
        <c:grouping val="stacked"/>
        <c:varyColors val="0"/>
        <c:ser>
          <c:idx val="0"/>
          <c:order val="0"/>
          <c:tx>
            <c:strRef>
              <c:f>COMPRAS!$A$57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COMPRAS!$B$56:$N$56</c:f>
              <c:strCache>
                <c:ptCount val="13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COMPRAS!$B$57:$N$57</c:f>
              <c:numCache>
                <c:formatCode>0</c:formatCode>
                <c:ptCount val="13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15-4BB7-A512-61C155A8F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1488063"/>
        <c:axId val="1371486623"/>
      </c:lineChart>
      <c:lineChart>
        <c:grouping val="stacked"/>
        <c:varyColors val="0"/>
        <c:ser>
          <c:idx val="2"/>
          <c:order val="2"/>
          <c:tx>
            <c:strRef>
              <c:f>COMPRAS!$A$59</c:f>
              <c:strCache>
                <c:ptCount val="1"/>
                <c:pt idx="0">
                  <c:v>Qualidade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COMPRAS!$B$56:$N$56</c:f>
              <c:strCache>
                <c:ptCount val="13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COMPRAS!$B$59:$N$59</c:f>
            </c:numRef>
          </c:val>
          <c:smooth val="0"/>
          <c:extLst>
            <c:ext xmlns:c16="http://schemas.microsoft.com/office/drawing/2014/chart" uri="{C3380CC4-5D6E-409C-BE32-E72D297353CC}">
              <c16:uniqueId val="{00000002-C115-4BB7-A512-61C155A8FEBE}"/>
            </c:ext>
          </c:extLst>
        </c:ser>
        <c:ser>
          <c:idx val="3"/>
          <c:order val="3"/>
          <c:tx>
            <c:strRef>
              <c:f>COMPRAS!$A$60</c:f>
              <c:strCache>
                <c:ptCount val="1"/>
                <c:pt idx="0">
                  <c:v>Refugo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COMPRAS!$B$56:$N$56</c:f>
              <c:strCache>
                <c:ptCount val="13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COMPRAS!$B$60:$N$60</c:f>
            </c:numRef>
          </c:val>
          <c:smooth val="0"/>
          <c:extLst>
            <c:ext xmlns:c16="http://schemas.microsoft.com/office/drawing/2014/chart" uri="{C3380CC4-5D6E-409C-BE32-E72D297353CC}">
              <c16:uniqueId val="{00000003-C115-4BB7-A512-61C155A8FEBE}"/>
            </c:ext>
          </c:extLst>
        </c:ser>
        <c:ser>
          <c:idx val="4"/>
          <c:order val="4"/>
          <c:tx>
            <c:strRef>
              <c:f>COMPRAS!$A$61</c:f>
              <c:strCache>
                <c:ptCount val="1"/>
                <c:pt idx="0">
                  <c:v>Entrega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COMPRAS!$B$56:$N$56</c:f>
              <c:strCache>
                <c:ptCount val="13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COMPRAS!$B$61:$N$61</c:f>
            </c:numRef>
          </c:val>
          <c:smooth val="0"/>
          <c:extLst>
            <c:ext xmlns:c16="http://schemas.microsoft.com/office/drawing/2014/chart" uri="{C3380CC4-5D6E-409C-BE32-E72D297353CC}">
              <c16:uniqueId val="{00000004-C115-4BB7-A512-61C155A8F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75792"/>
        <c:axId val="44678192"/>
      </c:lineChart>
      <c:catAx>
        <c:axId val="137148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1486623"/>
        <c:crosses val="autoZero"/>
        <c:auto val="1"/>
        <c:lblAlgn val="ctr"/>
        <c:lblOffset val="100"/>
        <c:noMultiLvlLbl val="0"/>
      </c:catAx>
      <c:valAx>
        <c:axId val="137148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1488063"/>
        <c:crosses val="autoZero"/>
        <c:crossBetween val="between"/>
      </c:valAx>
      <c:valAx>
        <c:axId val="4467819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675792"/>
        <c:crosses val="max"/>
        <c:crossBetween val="between"/>
      </c:valAx>
      <c:catAx>
        <c:axId val="446757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678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PEDIDO X ENTREGA -  (100% Aderencia)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COMPRAS!$A$90</c:f>
              <c:strCache>
                <c:ptCount val="1"/>
                <c:pt idx="0">
                  <c:v>Resultado %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COMPRAS!$C$86:$N$86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COMPRAS!$C$90:$N$90</c:f>
              <c:numCache>
                <c:formatCode>0.00</c:formatCode>
                <c:ptCount val="12"/>
                <c:pt idx="0">
                  <c:v>28.304441302368822</c:v>
                </c:pt>
                <c:pt idx="1">
                  <c:v>90.602114235467042</c:v>
                </c:pt>
                <c:pt idx="2">
                  <c:v>102.02369699239628</c:v>
                </c:pt>
                <c:pt idx="3">
                  <c:v>91.556564678678626</c:v>
                </c:pt>
                <c:pt idx="4">
                  <c:v>62.276560813817305</c:v>
                </c:pt>
                <c:pt idx="5">
                  <c:v>27.082548781285304</c:v>
                </c:pt>
                <c:pt idx="6">
                  <c:v>27.634289734184215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AD-40DC-9F6E-9B773AA50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9059632"/>
        <c:axId val="869066352"/>
      </c:barChart>
      <c:lineChart>
        <c:grouping val="standard"/>
        <c:varyColors val="0"/>
        <c:ser>
          <c:idx val="0"/>
          <c:order val="1"/>
          <c:tx>
            <c:strRef>
              <c:f>COMPRAS!$A$87</c:f>
              <c:strCache>
                <c:ptCount val="1"/>
                <c:pt idx="0">
                  <c:v>Meta</c:v>
                </c:pt>
              </c:strCache>
            </c:strRef>
          </c:tx>
          <c:spPr>
            <a:ln w="317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COMPRAS!$C$87:$N$87</c:f>
              <c:numCache>
                <c:formatCode>0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3D-40DC-92F1-B1C323580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9059632"/>
        <c:axId val="869066352"/>
      </c:lineChart>
      <c:catAx>
        <c:axId val="86905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9066352"/>
        <c:crosses val="autoZero"/>
        <c:auto val="1"/>
        <c:lblAlgn val="ctr"/>
        <c:lblOffset val="100"/>
        <c:noMultiLvlLbl val="0"/>
      </c:catAx>
      <c:valAx>
        <c:axId val="86906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Unidades de Peças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905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ACURACIDADE DE ESTOQUE - INVENTÁRIO ROTATIVO - Meta - 95%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5001301680230314E-2"/>
          <c:y val="0.13031741079747991"/>
          <c:w val="0.85990550136928279"/>
          <c:h val="0.718076847808200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ALMOXARIFADO!$A$24</c:f>
              <c:strCache>
                <c:ptCount val="1"/>
                <c:pt idx="0">
                  <c:v>Qtde Inventariada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ALMOXARIFADO!$B$22:$O$22</c:f>
              <c:strCache>
                <c:ptCount val="14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  <c:pt idx="13">
                  <c:v>Média</c:v>
                </c:pt>
              </c:strCache>
            </c:strRef>
          </c:cat>
          <c:val>
            <c:numRef>
              <c:f>ALMOXARIFADO!$B$24:$N$24</c:f>
              <c:numCache>
                <c:formatCode>#,##0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E56D-4DD5-844C-5836E5A073DE}"/>
            </c:ext>
          </c:extLst>
        </c:ser>
        <c:ser>
          <c:idx val="2"/>
          <c:order val="2"/>
          <c:tx>
            <c:strRef>
              <c:f>ALMOXARIFADO!$A$25</c:f>
              <c:strCache>
                <c:ptCount val="1"/>
                <c:pt idx="0">
                  <c:v>Resultado encontrado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ALMOXARIFADO!$B$22:$O$22</c:f>
              <c:strCache>
                <c:ptCount val="14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  <c:pt idx="13">
                  <c:v>Média</c:v>
                </c:pt>
              </c:strCache>
            </c:strRef>
          </c:cat>
          <c:val>
            <c:numRef>
              <c:f>ALMOXARIFADO!$B$25:$N$25</c:f>
              <c:numCache>
                <c:formatCode>#,##0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2-E56D-4DD5-844C-5836E5A07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577264"/>
        <c:axId val="37576304"/>
      </c:barChart>
      <c:lineChart>
        <c:grouping val="standard"/>
        <c:varyColors val="0"/>
        <c:ser>
          <c:idx val="0"/>
          <c:order val="0"/>
          <c:tx>
            <c:strRef>
              <c:f>ALMOXARIFADO!$A$23:$B$23</c:f>
              <c:strCache>
                <c:ptCount val="2"/>
                <c:pt idx="0">
                  <c:v>Meta</c:v>
                </c:pt>
                <c:pt idx="1">
                  <c:v>95%</c:v>
                </c:pt>
              </c:strCache>
            </c:strRef>
          </c:tx>
          <c:spPr>
            <a:ln w="34925" cap="rnd">
              <a:solidFill>
                <a:srgbClr val="92D05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ALMOXARIFADO!$C$22:$O$22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</c:v>
                </c:pt>
              </c:strCache>
            </c:strRef>
          </c:cat>
          <c:val>
            <c:numRef>
              <c:f>ALMOXARIFADO!$C$23:$N$23</c:f>
              <c:numCache>
                <c:formatCode>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6D-4DD5-844C-5836E5A073DE}"/>
            </c:ext>
          </c:extLst>
        </c:ser>
        <c:ser>
          <c:idx val="3"/>
          <c:order val="3"/>
          <c:tx>
            <c:strRef>
              <c:f>ALMOXARIFADO!$A$26:$B$26</c:f>
              <c:strCache>
                <c:ptCount val="2"/>
                <c:pt idx="0">
                  <c:v>Percentual %</c:v>
                </c:pt>
              </c:strCache>
            </c:strRef>
          </c:tx>
          <c:spPr>
            <a:ln w="34925" cap="rnd">
              <a:solidFill>
                <a:srgbClr val="FFFF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ALMOXARIFADO!$C$22:$O$22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Média</c:v>
                </c:pt>
              </c:strCache>
            </c:strRef>
          </c:cat>
          <c:val>
            <c:numRef>
              <c:f>ALMOXARIFADO!$C$26:$O$26</c:f>
              <c:numCache>
                <c:formatCode>0%</c:formatCode>
                <c:ptCount val="13"/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6D-4DD5-844C-5836E5A073DE}"/>
            </c:ext>
          </c:extLst>
        </c:ser>
        <c:ser>
          <c:idx val="4"/>
          <c:order val="4"/>
          <c:tx>
            <c:strRef>
              <c:f>ALMOXARIFADO!$O$22</c:f>
              <c:strCache>
                <c:ptCount val="1"/>
                <c:pt idx="0">
                  <c:v>Média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ALMOXARIFADO!$O$26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6D-4DD5-844C-5836E5A07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67232"/>
        <c:axId val="102550016"/>
      </c:lineChart>
      <c:catAx>
        <c:axId val="3757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576304"/>
        <c:crosses val="autoZero"/>
        <c:auto val="1"/>
        <c:lblAlgn val="ctr"/>
        <c:lblOffset val="100"/>
        <c:noMultiLvlLbl val="0"/>
      </c:catAx>
      <c:valAx>
        <c:axId val="3757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Unidades de peças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577264"/>
        <c:crosses val="autoZero"/>
        <c:crossBetween val="between"/>
      </c:valAx>
      <c:valAx>
        <c:axId val="1025500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atingimento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667232"/>
        <c:crosses val="max"/>
        <c:crossBetween val="between"/>
      </c:valAx>
      <c:catAx>
        <c:axId val="41667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550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RUPTURA DE ESTOQUE  </a:t>
            </a:r>
          </a:p>
          <a:p>
            <a:pPr>
              <a:defRPr/>
            </a:pPr>
            <a:r>
              <a:rPr lang="en-US"/>
              <a:t>FALTA DE PRODUTO DE VENDA NO ESTOQUE </a:t>
            </a:r>
          </a:p>
          <a:p>
            <a:pPr>
              <a:defRPr/>
            </a:pPr>
            <a:r>
              <a:rPr lang="en-US"/>
              <a:t>Meta - 1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ALMOXARIFADO!$A$54</c:f>
              <c:strCache>
                <c:ptCount val="1"/>
                <c:pt idx="0">
                  <c:v>Falta de Produto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ALMOXARIFADO!$B$52:$O$52</c:f>
              <c:strCache>
                <c:ptCount val="14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  <c:pt idx="13">
                  <c:v>Média</c:v>
                </c:pt>
              </c:strCache>
            </c:strRef>
          </c:cat>
          <c:val>
            <c:numRef>
              <c:f>ALMOXARIFADO!$B$54:$O$54</c:f>
              <c:numCache>
                <c:formatCode>#,##0</c:formatCode>
                <c:ptCount val="14"/>
                <c:pt idx="13" formatCode="#,##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75-457C-8F62-91A7EDC12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96231264"/>
        <c:axId val="296233184"/>
      </c:barChart>
      <c:lineChart>
        <c:grouping val="standard"/>
        <c:varyColors val="0"/>
        <c:ser>
          <c:idx val="0"/>
          <c:order val="0"/>
          <c:tx>
            <c:strRef>
              <c:f>ALMOXARIFADO!$A$53</c:f>
              <c:strCache>
                <c:ptCount val="1"/>
                <c:pt idx="0">
                  <c:v>Meta</c:v>
                </c:pt>
              </c:strCache>
            </c:strRef>
          </c:tx>
          <c:spPr>
            <a:ln w="34925" cap="rnd">
              <a:solidFill>
                <a:srgbClr val="92D05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ALMOXARIFADO!$B$52:$O$52</c:f>
              <c:strCache>
                <c:ptCount val="14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  <c:pt idx="13">
                  <c:v>Média</c:v>
                </c:pt>
              </c:strCache>
            </c:strRef>
          </c:cat>
          <c:val>
            <c:numRef>
              <c:f>ALMOXARIFADO!$B$53:$O$53</c:f>
              <c:numCache>
                <c:formatCode>0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75-457C-8F62-91A7EDC12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231264"/>
        <c:axId val="296233184"/>
      </c:lineChart>
      <c:catAx>
        <c:axId val="29623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6233184"/>
        <c:crosses val="autoZero"/>
        <c:auto val="1"/>
        <c:lblAlgn val="ctr"/>
        <c:lblOffset val="100"/>
        <c:noMultiLvlLbl val="0"/>
      </c:catAx>
      <c:valAx>
        <c:axId val="29623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623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DIVERGÊNCIA DE RECEBIMENTO - Meta - 1 (absoluto)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ALMOXARIFADO!$A$80</c:f>
              <c:strCache>
                <c:ptCount val="1"/>
                <c:pt idx="0">
                  <c:v>Divergência encont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ALMOXARIFADO!$B$78:$P$78</c:f>
              <c:strCache>
                <c:ptCount val="15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  <c:pt idx="13">
                  <c:v>Média</c:v>
                </c:pt>
                <c:pt idx="14">
                  <c:v>Res.%</c:v>
                </c:pt>
              </c:strCache>
            </c:strRef>
          </c:cat>
          <c:val>
            <c:numRef>
              <c:f>ALMOXARIFADO!$B$80:$P$80</c:f>
              <c:numCache>
                <c:formatCode>#,##0</c:formatCode>
                <c:ptCount val="15"/>
                <c:pt idx="13" formatCode="#,##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DC-4296-B596-AA5B9C451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41625792"/>
        <c:axId val="241619552"/>
      </c:barChart>
      <c:lineChart>
        <c:grouping val="standard"/>
        <c:varyColors val="0"/>
        <c:ser>
          <c:idx val="0"/>
          <c:order val="0"/>
          <c:tx>
            <c:strRef>
              <c:f>ALMOXARIFADO!$A$79</c:f>
              <c:strCache>
                <c:ptCount val="1"/>
                <c:pt idx="0">
                  <c:v>Meta</c:v>
                </c:pt>
              </c:strCache>
            </c:strRef>
          </c:tx>
          <c:spPr>
            <a:ln w="34925" cap="rnd">
              <a:solidFill>
                <a:srgbClr val="92D05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ALMOXARIFADO!$B$78:$P$78</c:f>
              <c:strCache>
                <c:ptCount val="15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  <c:pt idx="13">
                  <c:v>Média</c:v>
                </c:pt>
                <c:pt idx="14">
                  <c:v>Res.%</c:v>
                </c:pt>
              </c:strCache>
            </c:strRef>
          </c:cat>
          <c:val>
            <c:numRef>
              <c:f>ALMOXARIFADO!$B$79:$P$79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DC-4296-B596-AA5B9C451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625792"/>
        <c:axId val="241619552"/>
      </c:lineChart>
      <c:catAx>
        <c:axId val="24162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1619552"/>
        <c:crosses val="autoZero"/>
        <c:auto val="1"/>
        <c:lblAlgn val="ctr"/>
        <c:lblOffset val="100"/>
        <c:noMultiLvlLbl val="0"/>
      </c:catAx>
      <c:valAx>
        <c:axId val="24161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162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ESTOQUE MENSAL EM REAIS POR DEPOSITOS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ALMOXARIFADO!$Q$105:$R$105</c:f>
              <c:strCache>
                <c:ptCount val="2"/>
                <c:pt idx="0">
                  <c:v>DEP01 - almox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ALMOXARIFADO!$S$104:$AD$104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ALMOXARIFADO!$S$105:$AD$105</c:f>
              <c:numCache>
                <c:formatCode>#,##0.00</c:formatCode>
                <c:ptCount val="12"/>
                <c:pt idx="0">
                  <c:v>751759.71</c:v>
                </c:pt>
                <c:pt idx="1">
                  <c:v>822965.15</c:v>
                </c:pt>
                <c:pt idx="2">
                  <c:v>794264.07</c:v>
                </c:pt>
                <c:pt idx="3">
                  <c:v>648195.51</c:v>
                </c:pt>
                <c:pt idx="4">
                  <c:v>625437.04</c:v>
                </c:pt>
                <c:pt idx="5">
                  <c:v>466627.22</c:v>
                </c:pt>
                <c:pt idx="6">
                  <c:v>0</c:v>
                </c:pt>
                <c:pt idx="7">
                  <c:v>654343.42000000004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C-4443-B701-A2D623DD9054}"/>
            </c:ext>
          </c:extLst>
        </c:ser>
        <c:ser>
          <c:idx val="1"/>
          <c:order val="1"/>
          <c:tx>
            <c:strRef>
              <c:f>ALMOXARIFADO!$Q$106:$R$106</c:f>
              <c:strCache>
                <c:ptCount val="2"/>
                <c:pt idx="0">
                  <c:v>DEP02 - produção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ALMOXARIFADO!$S$104:$AD$104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ALMOXARIFADO!$S$106:$AD$106</c:f>
              <c:numCache>
                <c:formatCode>#,##0.00</c:formatCode>
                <c:ptCount val="12"/>
                <c:pt idx="0">
                  <c:v>107095.41</c:v>
                </c:pt>
                <c:pt idx="1">
                  <c:v>122335.33</c:v>
                </c:pt>
                <c:pt idx="2">
                  <c:v>192951.12</c:v>
                </c:pt>
                <c:pt idx="3">
                  <c:v>235746.6</c:v>
                </c:pt>
                <c:pt idx="4">
                  <c:v>339002.14</c:v>
                </c:pt>
                <c:pt idx="5">
                  <c:v>57194.98</c:v>
                </c:pt>
                <c:pt idx="6">
                  <c:v>0</c:v>
                </c:pt>
                <c:pt idx="7">
                  <c:v>280675.61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CC-4443-B701-A2D623DD9054}"/>
            </c:ext>
          </c:extLst>
        </c:ser>
        <c:ser>
          <c:idx val="2"/>
          <c:order val="2"/>
          <c:tx>
            <c:strRef>
              <c:f>ALMOXARIFADO!$Q$107:$R$107</c:f>
              <c:strCache>
                <c:ptCount val="2"/>
                <c:pt idx="0">
                  <c:v>DEP03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ALMOXARIFADO!$S$104:$AD$104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ALMOXARIFADO!$S$107:$AD$107</c:f>
            </c:numRef>
          </c:val>
          <c:extLst>
            <c:ext xmlns:c16="http://schemas.microsoft.com/office/drawing/2014/chart" uri="{C3380CC4-5D6E-409C-BE32-E72D297353CC}">
              <c16:uniqueId val="{00000002-5ACC-4443-B701-A2D623DD9054}"/>
            </c:ext>
          </c:extLst>
        </c:ser>
        <c:ser>
          <c:idx val="3"/>
          <c:order val="3"/>
          <c:tx>
            <c:strRef>
              <c:f>ALMOXARIFADO!$Q$108:$R$108</c:f>
              <c:strCache>
                <c:ptCount val="2"/>
                <c:pt idx="0">
                  <c:v>DEP04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ALMOXARIFADO!$S$104:$AD$104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ALMOXARIFADO!$S$108:$AD$108</c:f>
            </c:numRef>
          </c:val>
          <c:extLst>
            <c:ext xmlns:c16="http://schemas.microsoft.com/office/drawing/2014/chart" uri="{C3380CC4-5D6E-409C-BE32-E72D297353CC}">
              <c16:uniqueId val="{00000003-5ACC-4443-B701-A2D623DD9054}"/>
            </c:ext>
          </c:extLst>
        </c:ser>
        <c:ser>
          <c:idx val="4"/>
          <c:order val="4"/>
          <c:tx>
            <c:strRef>
              <c:f>ALMOXARIFADO!$Q$109:$R$109</c:f>
              <c:strCache>
                <c:ptCount val="2"/>
                <c:pt idx="0">
                  <c:v>DEP05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ALMOXARIFADO!$S$104:$AD$104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ALMOXARIFADO!$S$109:$AD$109</c:f>
            </c:numRef>
          </c:val>
          <c:extLst>
            <c:ext xmlns:c16="http://schemas.microsoft.com/office/drawing/2014/chart" uri="{C3380CC4-5D6E-409C-BE32-E72D297353CC}">
              <c16:uniqueId val="{00000004-5ACC-4443-B701-A2D623DD9054}"/>
            </c:ext>
          </c:extLst>
        </c:ser>
        <c:ser>
          <c:idx val="5"/>
          <c:order val="5"/>
          <c:tx>
            <c:strRef>
              <c:f>ALMOXARIFADO!$Q$110:$R$110</c:f>
              <c:strCache>
                <c:ptCount val="2"/>
                <c:pt idx="0">
                  <c:v>DEP06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ALMOXARIFADO!$S$104:$AD$104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ALMOXARIFADO!$S$110:$AD$110</c:f>
            </c:numRef>
          </c:val>
          <c:extLst>
            <c:ext xmlns:c16="http://schemas.microsoft.com/office/drawing/2014/chart" uri="{C3380CC4-5D6E-409C-BE32-E72D297353CC}">
              <c16:uniqueId val="{00000005-5ACC-4443-B701-A2D623DD9054}"/>
            </c:ext>
          </c:extLst>
        </c:ser>
        <c:ser>
          <c:idx val="6"/>
          <c:order val="6"/>
          <c:tx>
            <c:strRef>
              <c:f>ALMOXARIFADO!$Q$111:$R$111</c:f>
              <c:strCache>
                <c:ptCount val="2"/>
                <c:pt idx="0">
                  <c:v>DEP07 - ferramentas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ALMOXARIFADO!$S$104:$AD$104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ALMOXARIFADO!$S$111:$AD$111</c:f>
              <c:numCache>
                <c:formatCode>#,##0.00</c:formatCode>
                <c:ptCount val="12"/>
                <c:pt idx="0">
                  <c:v>424208.71</c:v>
                </c:pt>
                <c:pt idx="1">
                  <c:v>396651.04</c:v>
                </c:pt>
                <c:pt idx="2">
                  <c:v>390116.54</c:v>
                </c:pt>
                <c:pt idx="3">
                  <c:v>378325.63</c:v>
                </c:pt>
                <c:pt idx="4">
                  <c:v>377306.89</c:v>
                </c:pt>
                <c:pt idx="5">
                  <c:v>383350.93</c:v>
                </c:pt>
                <c:pt idx="6">
                  <c:v>0</c:v>
                </c:pt>
                <c:pt idx="7">
                  <c:v>370101.69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CC-4443-B701-A2D623DD9054}"/>
            </c:ext>
          </c:extLst>
        </c:ser>
        <c:ser>
          <c:idx val="7"/>
          <c:order val="7"/>
          <c:tx>
            <c:strRef>
              <c:f>ALMOXARIFADO!$Q$112:$R$112</c:f>
              <c:strCache>
                <c:ptCount val="2"/>
                <c:pt idx="0">
                  <c:v>DEP08 - evl varejo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ALMOXARIFADO!$S$104:$AD$104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ALMOXARIFADO!$S$112:$AD$112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5575542.2300000004</c:v>
                </c:pt>
                <c:pt idx="6">
                  <c:v>0</c:v>
                </c:pt>
                <c:pt idx="7">
                  <c:v>5507997.4000000004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ACC-4443-B701-A2D623DD9054}"/>
            </c:ext>
          </c:extLst>
        </c:ser>
        <c:ser>
          <c:idx val="8"/>
          <c:order val="8"/>
          <c:tx>
            <c:strRef>
              <c:f>ALMOXARIFADO!$Q$113:$R$113</c:f>
              <c:strCache>
                <c:ptCount val="2"/>
                <c:pt idx="0">
                  <c:v>DEP09 - intermed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ALMOXARIFADO!$S$104:$AD$104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ALMOXARIFADO!$S$113:$AD$113</c:f>
              <c:numCache>
                <c:formatCode>#,##0.00</c:formatCode>
                <c:ptCount val="12"/>
                <c:pt idx="0">
                  <c:v>41557.21</c:v>
                </c:pt>
                <c:pt idx="1">
                  <c:v>68884.509999999995</c:v>
                </c:pt>
                <c:pt idx="2">
                  <c:v>52680.33</c:v>
                </c:pt>
                <c:pt idx="3">
                  <c:v>106034.7</c:v>
                </c:pt>
                <c:pt idx="4">
                  <c:v>85871.89</c:v>
                </c:pt>
                <c:pt idx="5">
                  <c:v>34309.58</c:v>
                </c:pt>
                <c:pt idx="6">
                  <c:v>0</c:v>
                </c:pt>
                <c:pt idx="7">
                  <c:v>24597.48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CC-4443-B701-A2D623DD9054}"/>
            </c:ext>
          </c:extLst>
        </c:ser>
        <c:ser>
          <c:idx val="9"/>
          <c:order val="9"/>
          <c:tx>
            <c:strRef>
              <c:f>ALMOXARIFADO!$Q$114:$R$114</c:f>
              <c:strCache>
                <c:ptCount val="2"/>
                <c:pt idx="0">
                  <c:v>DEP10 - Montag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ALMOXARIFADO!$S$104:$AD$104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ALMOXARIFADO!$S$114:$AD$114</c:f>
              <c:numCache>
                <c:formatCode>#,##0.00</c:formatCode>
                <c:ptCount val="12"/>
                <c:pt idx="0">
                  <c:v>261347.87</c:v>
                </c:pt>
                <c:pt idx="1">
                  <c:v>165682.64000000001</c:v>
                </c:pt>
                <c:pt idx="2">
                  <c:v>178557.13</c:v>
                </c:pt>
                <c:pt idx="3">
                  <c:v>139978.03</c:v>
                </c:pt>
                <c:pt idx="4">
                  <c:v>144182.53</c:v>
                </c:pt>
                <c:pt idx="5">
                  <c:v>248911.53</c:v>
                </c:pt>
                <c:pt idx="6">
                  <c:v>0</c:v>
                </c:pt>
                <c:pt idx="7">
                  <c:v>209537.72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ACC-4443-B701-A2D623DD9054}"/>
            </c:ext>
          </c:extLst>
        </c:ser>
        <c:ser>
          <c:idx val="10"/>
          <c:order val="10"/>
          <c:tx>
            <c:strRef>
              <c:f>ALMOXARIFADO!$Q$115:$R$115</c:f>
              <c:strCache>
                <c:ptCount val="2"/>
                <c:pt idx="0">
                  <c:v>DEP11 - global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ALMOXARIFADO!$S$104:$AD$104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ALMOXARIFADO!$S$115:$AD$115</c:f>
              <c:numCache>
                <c:formatCode>#,##0.00</c:formatCode>
                <c:ptCount val="12"/>
                <c:pt idx="0">
                  <c:v>397257.24</c:v>
                </c:pt>
                <c:pt idx="1">
                  <c:v>219183.97</c:v>
                </c:pt>
                <c:pt idx="2">
                  <c:v>212151.57</c:v>
                </c:pt>
                <c:pt idx="3">
                  <c:v>202926.65</c:v>
                </c:pt>
                <c:pt idx="4">
                  <c:v>197496.87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ACC-4443-B701-A2D623DD9054}"/>
            </c:ext>
          </c:extLst>
        </c:ser>
        <c:ser>
          <c:idx val="11"/>
          <c:order val="11"/>
          <c:tx>
            <c:strRef>
              <c:f>ALMOXARIFADO!$Q$116:$R$116</c:f>
              <c:strCache>
                <c:ptCount val="2"/>
                <c:pt idx="0">
                  <c:v>DEP12 - fer produção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ALMOXARIFADO!$S$104:$AD$104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ALMOXARIFADO!$S$116:$AD$116</c:f>
              <c:numCache>
                <c:formatCode>#,##0.00</c:formatCode>
                <c:ptCount val="12"/>
                <c:pt idx="0">
                  <c:v>59814.78</c:v>
                </c:pt>
                <c:pt idx="1">
                  <c:v>63916.62</c:v>
                </c:pt>
                <c:pt idx="2">
                  <c:v>57257.43</c:v>
                </c:pt>
                <c:pt idx="3">
                  <c:v>60925.51</c:v>
                </c:pt>
                <c:pt idx="4">
                  <c:v>57607.02</c:v>
                </c:pt>
                <c:pt idx="5">
                  <c:v>51104.160000000003</c:v>
                </c:pt>
                <c:pt idx="6">
                  <c:v>0</c:v>
                </c:pt>
                <c:pt idx="7">
                  <c:v>53099.26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ACC-4443-B701-A2D623DD9054}"/>
            </c:ext>
          </c:extLst>
        </c:ser>
        <c:ser>
          <c:idx val="12"/>
          <c:order val="12"/>
          <c:tx>
            <c:strRef>
              <c:f>ALMOXARIFADO!$Q$117:$R$117</c:f>
              <c:strCache>
                <c:ptCount val="2"/>
                <c:pt idx="0">
                  <c:v>DEP13 - exportaç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ALMOXARIFADO!$S$104:$AD$104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ALMOXARIFADO!$S$117:$AD$117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 formatCode="0.00">
                  <c:v>0</c:v>
                </c:pt>
                <c:pt idx="3" formatCode="General">
                  <c:v>0</c:v>
                </c:pt>
                <c:pt idx="4">
                  <c:v>1744.03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ACC-4443-B701-A2D623DD9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2585760"/>
        <c:axId val="1922584800"/>
      </c:barChart>
      <c:lineChart>
        <c:grouping val="standard"/>
        <c:varyColors val="0"/>
        <c:ser>
          <c:idx val="13"/>
          <c:order val="13"/>
          <c:tx>
            <c:strRef>
              <c:f>ALMOXARIFADO!$Q$118</c:f>
              <c:strCache>
                <c:ptCount val="1"/>
                <c:pt idx="0">
                  <c:v>Total </c:v>
                </c:pt>
              </c:strCache>
            </c:strRef>
          </c:tx>
          <c:spPr>
            <a:ln w="317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ALMOXARIFADO!$S$118:$AD$118</c:f>
              <c:numCache>
                <c:formatCode>#,##0.00</c:formatCode>
                <c:ptCount val="12"/>
                <c:pt idx="0">
                  <c:v>2043040.9300000002</c:v>
                </c:pt>
                <c:pt idx="1">
                  <c:v>1859619.26</c:v>
                </c:pt>
                <c:pt idx="2">
                  <c:v>1877978.19</c:v>
                </c:pt>
                <c:pt idx="3">
                  <c:v>1772132.63</c:v>
                </c:pt>
                <c:pt idx="4">
                  <c:v>1828648.41</c:v>
                </c:pt>
                <c:pt idx="5">
                  <c:v>6817040.6300000008</c:v>
                </c:pt>
                <c:pt idx="6">
                  <c:v>0</c:v>
                </c:pt>
                <c:pt idx="7">
                  <c:v>7100352.5800000001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E9-487E-A970-E1D92B163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2585760"/>
        <c:axId val="1922584800"/>
      </c:lineChart>
      <c:catAx>
        <c:axId val="19225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2584800"/>
        <c:crosses val="autoZero"/>
        <c:auto val="1"/>
        <c:lblAlgn val="ctr"/>
        <c:lblOffset val="100"/>
        <c:noMultiLvlLbl val="0"/>
      </c:catAx>
      <c:valAx>
        <c:axId val="192258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VALORES EM REAIS</a:t>
                </a:r>
              </a:p>
              <a:p>
                <a:pPr>
                  <a:defRPr/>
                </a:pP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25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ESTOQUE MENSAL EM UNIDADES POR DEPOSITOS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ALMOXARIFADO!$A$105:$B$105</c:f>
              <c:strCache>
                <c:ptCount val="2"/>
                <c:pt idx="0">
                  <c:v>DEP01 - almox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ALMOXARIFADO!$C$104:$N$104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ALMOXARIFADO!$C$105:$N$105</c:f>
              <c:numCache>
                <c:formatCode>#,##0</c:formatCode>
                <c:ptCount val="12"/>
                <c:pt idx="0">
                  <c:v>385534</c:v>
                </c:pt>
                <c:pt idx="1">
                  <c:v>481224</c:v>
                </c:pt>
                <c:pt idx="2">
                  <c:v>389322</c:v>
                </c:pt>
                <c:pt idx="3">
                  <c:v>360414</c:v>
                </c:pt>
                <c:pt idx="4">
                  <c:v>426680</c:v>
                </c:pt>
                <c:pt idx="5">
                  <c:v>528558</c:v>
                </c:pt>
                <c:pt idx="6">
                  <c:v>0</c:v>
                </c:pt>
                <c:pt idx="7">
                  <c:v>725809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A-422E-870C-A953E7065E8F}"/>
            </c:ext>
          </c:extLst>
        </c:ser>
        <c:ser>
          <c:idx val="1"/>
          <c:order val="1"/>
          <c:tx>
            <c:strRef>
              <c:f>ALMOXARIFADO!$A$106:$B$106</c:f>
              <c:strCache>
                <c:ptCount val="2"/>
                <c:pt idx="0">
                  <c:v>DEP02 - produção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ALMOXARIFADO!$C$104:$N$104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ALMOXARIFADO!$C$106:$N$106</c:f>
              <c:numCache>
                <c:formatCode>#,##0</c:formatCode>
                <c:ptCount val="12"/>
                <c:pt idx="0">
                  <c:v>10985</c:v>
                </c:pt>
                <c:pt idx="1">
                  <c:v>10384</c:v>
                </c:pt>
                <c:pt idx="2">
                  <c:v>16891</c:v>
                </c:pt>
                <c:pt idx="3">
                  <c:v>19925</c:v>
                </c:pt>
                <c:pt idx="4">
                  <c:v>28497</c:v>
                </c:pt>
                <c:pt idx="5">
                  <c:v>4905</c:v>
                </c:pt>
                <c:pt idx="6">
                  <c:v>0</c:v>
                </c:pt>
                <c:pt idx="7">
                  <c:v>28340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8A-422E-870C-A953E7065E8F}"/>
            </c:ext>
          </c:extLst>
        </c:ser>
        <c:ser>
          <c:idx val="2"/>
          <c:order val="2"/>
          <c:tx>
            <c:strRef>
              <c:f>ALMOXARIFADO!$A$107:$B$107</c:f>
              <c:strCache>
                <c:ptCount val="2"/>
                <c:pt idx="0">
                  <c:v>DEP03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ALMOXARIFADO!$C$104:$N$104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ALMOXARIFADO!$C$107:$N$107</c:f>
            </c:numRef>
          </c:val>
          <c:extLst>
            <c:ext xmlns:c16="http://schemas.microsoft.com/office/drawing/2014/chart" uri="{C3380CC4-5D6E-409C-BE32-E72D297353CC}">
              <c16:uniqueId val="{00000002-A88A-422E-870C-A953E7065E8F}"/>
            </c:ext>
          </c:extLst>
        </c:ser>
        <c:ser>
          <c:idx val="3"/>
          <c:order val="3"/>
          <c:tx>
            <c:strRef>
              <c:f>ALMOXARIFADO!$A$108:$B$108</c:f>
              <c:strCache>
                <c:ptCount val="2"/>
                <c:pt idx="0">
                  <c:v>DEP04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ALMOXARIFADO!$C$104:$N$104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ALMOXARIFADO!$C$108:$N$108</c:f>
            </c:numRef>
          </c:val>
          <c:extLst>
            <c:ext xmlns:c16="http://schemas.microsoft.com/office/drawing/2014/chart" uri="{C3380CC4-5D6E-409C-BE32-E72D297353CC}">
              <c16:uniqueId val="{00000003-A88A-422E-870C-A953E7065E8F}"/>
            </c:ext>
          </c:extLst>
        </c:ser>
        <c:ser>
          <c:idx val="4"/>
          <c:order val="4"/>
          <c:tx>
            <c:strRef>
              <c:f>ALMOXARIFADO!$A$109:$B$109</c:f>
              <c:strCache>
                <c:ptCount val="2"/>
                <c:pt idx="0">
                  <c:v>DEP05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ALMOXARIFADO!$C$104:$N$104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ALMOXARIFADO!$C$109:$N$109</c:f>
            </c:numRef>
          </c:val>
          <c:extLst>
            <c:ext xmlns:c16="http://schemas.microsoft.com/office/drawing/2014/chart" uri="{C3380CC4-5D6E-409C-BE32-E72D297353CC}">
              <c16:uniqueId val="{00000004-A88A-422E-870C-A953E7065E8F}"/>
            </c:ext>
          </c:extLst>
        </c:ser>
        <c:ser>
          <c:idx val="5"/>
          <c:order val="5"/>
          <c:tx>
            <c:strRef>
              <c:f>ALMOXARIFADO!$A$110:$B$110</c:f>
              <c:strCache>
                <c:ptCount val="2"/>
                <c:pt idx="0">
                  <c:v>DEP06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ALMOXARIFADO!$C$104:$N$104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ALMOXARIFADO!$C$110:$N$110</c:f>
            </c:numRef>
          </c:val>
          <c:extLst>
            <c:ext xmlns:c16="http://schemas.microsoft.com/office/drawing/2014/chart" uri="{C3380CC4-5D6E-409C-BE32-E72D297353CC}">
              <c16:uniqueId val="{00000005-A88A-422E-870C-A953E7065E8F}"/>
            </c:ext>
          </c:extLst>
        </c:ser>
        <c:ser>
          <c:idx val="6"/>
          <c:order val="6"/>
          <c:tx>
            <c:strRef>
              <c:f>ALMOXARIFADO!$A$111:$B$111</c:f>
              <c:strCache>
                <c:ptCount val="2"/>
                <c:pt idx="0">
                  <c:v>DEP07 - ferramentas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ALMOXARIFADO!$C$104:$N$104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ALMOXARIFADO!$C$111:$N$111</c:f>
              <c:numCache>
                <c:formatCode>#,##0</c:formatCode>
                <c:ptCount val="12"/>
                <c:pt idx="0">
                  <c:v>2839</c:v>
                </c:pt>
                <c:pt idx="1">
                  <c:v>2784</c:v>
                </c:pt>
                <c:pt idx="2">
                  <c:v>2855</c:v>
                </c:pt>
                <c:pt idx="3">
                  <c:v>2736</c:v>
                </c:pt>
                <c:pt idx="4">
                  <c:v>2683</c:v>
                </c:pt>
                <c:pt idx="5">
                  <c:v>2689</c:v>
                </c:pt>
                <c:pt idx="6">
                  <c:v>0</c:v>
                </c:pt>
                <c:pt idx="7">
                  <c:v>2604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8A-422E-870C-A953E7065E8F}"/>
            </c:ext>
          </c:extLst>
        </c:ser>
        <c:ser>
          <c:idx val="7"/>
          <c:order val="7"/>
          <c:tx>
            <c:strRef>
              <c:f>ALMOXARIFADO!$A$112:$B$112</c:f>
              <c:strCache>
                <c:ptCount val="2"/>
                <c:pt idx="0">
                  <c:v>DEP08 - evl varejo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ALMOXARIFADO!$C$104:$N$104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ALMOXARIFADO!$C$112:$N$112</c:f>
              <c:numCache>
                <c:formatCode>#,##0</c:formatCode>
                <c:ptCount val="12"/>
                <c:pt idx="0">
                  <c:v>80843</c:v>
                </c:pt>
                <c:pt idx="1">
                  <c:v>81069</c:v>
                </c:pt>
                <c:pt idx="2">
                  <c:v>79528</c:v>
                </c:pt>
                <c:pt idx="3">
                  <c:v>78865</c:v>
                </c:pt>
                <c:pt idx="4">
                  <c:v>81909</c:v>
                </c:pt>
                <c:pt idx="5">
                  <c:v>79860</c:v>
                </c:pt>
                <c:pt idx="6">
                  <c:v>0</c:v>
                </c:pt>
                <c:pt idx="7">
                  <c:v>78721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88A-422E-870C-A953E7065E8F}"/>
            </c:ext>
          </c:extLst>
        </c:ser>
        <c:ser>
          <c:idx val="8"/>
          <c:order val="8"/>
          <c:tx>
            <c:strRef>
              <c:f>ALMOXARIFADO!$A$113:$B$113</c:f>
              <c:strCache>
                <c:ptCount val="2"/>
                <c:pt idx="0">
                  <c:v>DEP09 - intermed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ALMOXARIFADO!$C$104:$N$104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ALMOXARIFADO!$C$113:$N$113</c:f>
              <c:numCache>
                <c:formatCode>#,##0</c:formatCode>
                <c:ptCount val="12"/>
                <c:pt idx="0">
                  <c:v>5085</c:v>
                </c:pt>
                <c:pt idx="1">
                  <c:v>7375</c:v>
                </c:pt>
                <c:pt idx="2">
                  <c:v>9146</c:v>
                </c:pt>
                <c:pt idx="3">
                  <c:v>11547</c:v>
                </c:pt>
                <c:pt idx="4">
                  <c:v>10091</c:v>
                </c:pt>
                <c:pt idx="5">
                  <c:v>4122</c:v>
                </c:pt>
                <c:pt idx="6">
                  <c:v>0</c:v>
                </c:pt>
                <c:pt idx="7">
                  <c:v>3394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8A-422E-870C-A953E7065E8F}"/>
            </c:ext>
          </c:extLst>
        </c:ser>
        <c:ser>
          <c:idx val="9"/>
          <c:order val="9"/>
          <c:tx>
            <c:strRef>
              <c:f>ALMOXARIFADO!$A$114:$B$114</c:f>
              <c:strCache>
                <c:ptCount val="2"/>
                <c:pt idx="0">
                  <c:v>DEP10 - Montag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ALMOXARIFADO!$C$104:$N$104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ALMOXARIFADO!$C$114:$N$114</c:f>
              <c:numCache>
                <c:formatCode>#,##0</c:formatCode>
                <c:ptCount val="12"/>
                <c:pt idx="0">
                  <c:v>157409</c:v>
                </c:pt>
                <c:pt idx="1">
                  <c:v>181585</c:v>
                </c:pt>
                <c:pt idx="2">
                  <c:v>175456</c:v>
                </c:pt>
                <c:pt idx="3">
                  <c:v>145125</c:v>
                </c:pt>
                <c:pt idx="4">
                  <c:v>162764</c:v>
                </c:pt>
                <c:pt idx="5">
                  <c:v>191244</c:v>
                </c:pt>
                <c:pt idx="6">
                  <c:v>0</c:v>
                </c:pt>
                <c:pt idx="7">
                  <c:v>199683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88A-422E-870C-A953E7065E8F}"/>
            </c:ext>
          </c:extLst>
        </c:ser>
        <c:ser>
          <c:idx val="10"/>
          <c:order val="10"/>
          <c:tx>
            <c:strRef>
              <c:f>ALMOXARIFADO!$A$115:$B$115</c:f>
              <c:strCache>
                <c:ptCount val="2"/>
                <c:pt idx="0">
                  <c:v>DEP11 - global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ALMOXARIFADO!$C$104:$N$104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ALMOXARIFADO!$C$115:$N$115</c:f>
              <c:numCache>
                <c:formatCode>#,##0</c:formatCode>
                <c:ptCount val="12"/>
                <c:pt idx="0">
                  <c:v>621762</c:v>
                </c:pt>
                <c:pt idx="1">
                  <c:v>433100</c:v>
                </c:pt>
                <c:pt idx="2">
                  <c:v>427615</c:v>
                </c:pt>
                <c:pt idx="3">
                  <c:v>408961</c:v>
                </c:pt>
                <c:pt idx="4">
                  <c:v>404271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88A-422E-870C-A953E7065E8F}"/>
            </c:ext>
          </c:extLst>
        </c:ser>
        <c:ser>
          <c:idx val="11"/>
          <c:order val="11"/>
          <c:tx>
            <c:strRef>
              <c:f>ALMOXARIFADO!$A$116:$B$116</c:f>
              <c:strCache>
                <c:ptCount val="2"/>
                <c:pt idx="0">
                  <c:v>DEP12 - fer produção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ALMOXARIFADO!$C$104:$N$104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ALMOXARIFADO!$C$116:$N$116</c:f>
              <c:numCache>
                <c:formatCode>#,##0</c:formatCode>
                <c:ptCount val="12"/>
                <c:pt idx="0">
                  <c:v>359</c:v>
                </c:pt>
                <c:pt idx="1">
                  <c:v>391</c:v>
                </c:pt>
                <c:pt idx="2">
                  <c:v>366</c:v>
                </c:pt>
                <c:pt idx="3">
                  <c:v>420</c:v>
                </c:pt>
                <c:pt idx="4">
                  <c:v>460</c:v>
                </c:pt>
                <c:pt idx="5">
                  <c:v>395</c:v>
                </c:pt>
                <c:pt idx="6">
                  <c:v>0</c:v>
                </c:pt>
                <c:pt idx="7">
                  <c:v>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88A-422E-870C-A953E7065E8F}"/>
            </c:ext>
          </c:extLst>
        </c:ser>
        <c:ser>
          <c:idx val="12"/>
          <c:order val="12"/>
          <c:tx>
            <c:strRef>
              <c:f>ALMOXARIFADO!$A$117:$B$117</c:f>
              <c:strCache>
                <c:ptCount val="2"/>
                <c:pt idx="0">
                  <c:v>DEP13 - exportaç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ALMOXARIFADO!$C$104:$N$104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ALMOXARIFADO!$C$117:$N$117</c:f>
              <c:numCache>
                <c:formatCode>#,##0</c:formatCode>
                <c:ptCount val="12"/>
                <c:pt idx="0">
                  <c:v>1970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88A-422E-870C-A953E7065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83985488"/>
        <c:axId val="1683978288"/>
      </c:barChart>
      <c:catAx>
        <c:axId val="168398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3978288"/>
        <c:crosses val="autoZero"/>
        <c:auto val="1"/>
        <c:lblAlgn val="ctr"/>
        <c:lblOffset val="100"/>
        <c:noMultiLvlLbl val="0"/>
      </c:catAx>
      <c:valAx>
        <c:axId val="168397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UNIDADES DE PEÇAS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398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ESTOQUE FERRAMENTAS (Preset+Produção)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ALMOXARIFADO!$A$141:$B$141</c:f>
              <c:strCache>
                <c:ptCount val="2"/>
                <c:pt idx="0">
                  <c:v>Ferramentas em R$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ALMOXARIFADO!$C$139:$N$139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ALMOXARIFADO!$C$141:$N$141</c:f>
              <c:numCache>
                <c:formatCode>#,##0.00</c:formatCode>
                <c:ptCount val="12"/>
                <c:pt idx="0">
                  <c:v>484023.49</c:v>
                </c:pt>
                <c:pt idx="1">
                  <c:v>460567.66</c:v>
                </c:pt>
                <c:pt idx="2">
                  <c:v>447373.97</c:v>
                </c:pt>
                <c:pt idx="3">
                  <c:v>439251.14</c:v>
                </c:pt>
                <c:pt idx="4">
                  <c:v>434913.91000000003</c:v>
                </c:pt>
                <c:pt idx="5">
                  <c:v>434455.08999999997</c:v>
                </c:pt>
                <c:pt idx="6">
                  <c:v>438378.02999999997</c:v>
                </c:pt>
                <c:pt idx="7">
                  <c:v>423200.95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96-478F-8CF3-E9BEBDB57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31823039"/>
        <c:axId val="1731835039"/>
      </c:barChart>
      <c:lineChart>
        <c:grouping val="standard"/>
        <c:varyColors val="0"/>
        <c:ser>
          <c:idx val="0"/>
          <c:order val="0"/>
          <c:tx>
            <c:strRef>
              <c:f>ALMOXARIFADO!$A$140:$B$140</c:f>
              <c:strCache>
                <c:ptCount val="2"/>
                <c:pt idx="0">
                  <c:v>Ferramentas em Unid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ALMOXARIFADO!$C$139:$N$139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ALMOXARIFADO!$C$140:$N$140</c:f>
              <c:numCache>
                <c:formatCode>#,##0</c:formatCode>
                <c:ptCount val="12"/>
                <c:pt idx="0">
                  <c:v>3198</c:v>
                </c:pt>
                <c:pt idx="1">
                  <c:v>3175</c:v>
                </c:pt>
                <c:pt idx="2">
                  <c:v>3221</c:v>
                </c:pt>
                <c:pt idx="3">
                  <c:v>3156</c:v>
                </c:pt>
                <c:pt idx="4">
                  <c:v>3143</c:v>
                </c:pt>
                <c:pt idx="5">
                  <c:v>3084</c:v>
                </c:pt>
                <c:pt idx="6" formatCode="General">
                  <c:v>3144</c:v>
                </c:pt>
                <c:pt idx="7">
                  <c:v>3025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96-478F-8CF3-E9BEBDB57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005551"/>
        <c:axId val="1921004591"/>
      </c:lineChart>
      <c:catAx>
        <c:axId val="173182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1835039"/>
        <c:crosses val="autoZero"/>
        <c:auto val="1"/>
        <c:lblAlgn val="ctr"/>
        <c:lblOffset val="100"/>
        <c:noMultiLvlLbl val="0"/>
      </c:catAx>
      <c:valAx>
        <c:axId val="173183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Valores em Reais - R$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1823039"/>
        <c:crosses val="autoZero"/>
        <c:crossBetween val="between"/>
      </c:valAx>
      <c:valAx>
        <c:axId val="192100459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Unidades de Ferramentas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1005551"/>
        <c:crosses val="max"/>
        <c:crossBetween val="between"/>
      </c:valAx>
      <c:catAx>
        <c:axId val="19210055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10045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Dep. 01 - Fundidos e Outros em Unidades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ALMOXARIFADO!$A$165:$B$165</c:f>
              <c:strCache>
                <c:ptCount val="2"/>
                <c:pt idx="0">
                  <c:v>Fundidos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ALMOXARIFADO!$C$164:$N$164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ALMOXARIFADO!$C$165:$N$165</c:f>
              <c:numCache>
                <c:formatCode>#,##0</c:formatCode>
                <c:ptCount val="12"/>
                <c:pt idx="0">
                  <c:v>35900</c:v>
                </c:pt>
                <c:pt idx="1">
                  <c:v>23904</c:v>
                </c:pt>
                <c:pt idx="2">
                  <c:v>36170</c:v>
                </c:pt>
                <c:pt idx="3">
                  <c:v>26333</c:v>
                </c:pt>
                <c:pt idx="4">
                  <c:v>21989</c:v>
                </c:pt>
                <c:pt idx="5">
                  <c:v>5760</c:v>
                </c:pt>
                <c:pt idx="6">
                  <c:v>7803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E-4980-8880-A91A039B6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87394559"/>
        <c:axId val="1487383039"/>
      </c:barChart>
      <c:lineChart>
        <c:grouping val="standard"/>
        <c:varyColors val="0"/>
        <c:ser>
          <c:idx val="1"/>
          <c:order val="1"/>
          <c:tx>
            <c:strRef>
              <c:f>ALMOXARIFADO!$A$167:$B$167</c:f>
              <c:strCache>
                <c:ptCount val="2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ALMOXARIFADO!$C$164:$N$164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ALMOXARIFADO!$C$167:$N$167</c:f>
              <c:numCache>
                <c:formatCode>0.00</c:formatCode>
                <c:ptCount val="12"/>
                <c:pt idx="0">
                  <c:v>9.2707604347702581</c:v>
                </c:pt>
                <c:pt idx="1">
                  <c:v>5.2269745473628966</c:v>
                </c:pt>
                <c:pt idx="2">
                  <c:v>10.242048749546937</c:v>
                </c:pt>
                <c:pt idx="3">
                  <c:v>7.8822201801359553</c:v>
                </c:pt>
                <c:pt idx="4">
                  <c:v>5.4335282968981264</c:v>
                </c:pt>
                <c:pt idx="5">
                  <c:v>1.1017639700228388</c:v>
                </c:pt>
                <c:pt idx="6">
                  <c:v>1.0867597206708579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BE-4980-8880-A91A039B6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0220047"/>
        <c:axId val="1380221967"/>
      </c:lineChart>
      <c:catAx>
        <c:axId val="148739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7383039"/>
        <c:crosses val="autoZero"/>
        <c:auto val="1"/>
        <c:lblAlgn val="ctr"/>
        <c:lblOffset val="100"/>
        <c:noMultiLvlLbl val="0"/>
      </c:catAx>
      <c:valAx>
        <c:axId val="148738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7394559"/>
        <c:crosses val="autoZero"/>
        <c:crossBetween val="between"/>
      </c:valAx>
      <c:valAx>
        <c:axId val="1380221967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0220047"/>
        <c:crosses val="max"/>
        <c:crossBetween val="between"/>
      </c:valAx>
      <c:catAx>
        <c:axId val="13802200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802219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Dep. 01 - Fundidos e Outros - Reais - R$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ALMOXARIFADO!$S$165:$T$165</c:f>
              <c:strCache>
                <c:ptCount val="2"/>
                <c:pt idx="0">
                  <c:v>Fundidos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ALMOXARIFADO!$U$164:$AF$164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ALMOXARIFADO!$U$165:$AF$165</c:f>
              <c:numCache>
                <c:formatCode>#,##0.00</c:formatCode>
                <c:ptCount val="12"/>
                <c:pt idx="0">
                  <c:v>397485.54</c:v>
                </c:pt>
                <c:pt idx="1">
                  <c:v>341741.52</c:v>
                </c:pt>
                <c:pt idx="2">
                  <c:v>464315.93</c:v>
                </c:pt>
                <c:pt idx="3">
                  <c:v>332423.07</c:v>
                </c:pt>
                <c:pt idx="4">
                  <c:v>317478.15999999997</c:v>
                </c:pt>
                <c:pt idx="5">
                  <c:v>75968.289999999994</c:v>
                </c:pt>
                <c:pt idx="6">
                  <c:v>110965.56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7-4B13-AB56-25159DC409BF}"/>
            </c:ext>
          </c:extLst>
        </c:ser>
        <c:ser>
          <c:idx val="1"/>
          <c:order val="1"/>
          <c:tx>
            <c:strRef>
              <c:f>ALMOXARIFADO!$S$166:$T$166</c:f>
              <c:strCache>
                <c:ptCount val="2"/>
                <c:pt idx="0">
                  <c:v>Outros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ALMOXARIFADO!$U$164:$AF$164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ALMOXARIFADO!$U$166:$AF$166</c:f>
              <c:numCache>
                <c:formatCode>#,##0.00</c:formatCode>
                <c:ptCount val="12"/>
                <c:pt idx="0">
                  <c:v>355974.64</c:v>
                </c:pt>
                <c:pt idx="1">
                  <c:v>481223.63</c:v>
                </c:pt>
                <c:pt idx="2">
                  <c:v>329948.13999999996</c:v>
                </c:pt>
                <c:pt idx="3">
                  <c:v>315772.44</c:v>
                </c:pt>
                <c:pt idx="4">
                  <c:v>307958.88000000006</c:v>
                </c:pt>
                <c:pt idx="5">
                  <c:v>390658.93</c:v>
                </c:pt>
                <c:pt idx="6">
                  <c:v>543377.8600000001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B7-4B13-AB56-25159DC40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77726735"/>
        <c:axId val="1477727215"/>
      </c:barChart>
      <c:lineChart>
        <c:grouping val="standard"/>
        <c:varyColors val="0"/>
        <c:ser>
          <c:idx val="2"/>
          <c:order val="2"/>
          <c:tx>
            <c:strRef>
              <c:f>ALMOXARIFADO!$S$168</c:f>
              <c:strCache>
                <c:ptCount val="1"/>
                <c:pt idx="0">
                  <c:v>%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ALMOXARIFADO!$U$168:$AF$168</c:f>
              <c:numCache>
                <c:formatCode>0.00</c:formatCode>
                <c:ptCount val="12"/>
                <c:pt idx="0">
                  <c:v>52.754684394867425</c:v>
                </c:pt>
                <c:pt idx="1">
                  <c:v>41.525636899691321</c:v>
                </c:pt>
                <c:pt idx="2">
                  <c:v>58.458634544553931</c:v>
                </c:pt>
                <c:pt idx="3">
                  <c:v>51.284383318236806</c:v>
                </c:pt>
                <c:pt idx="4">
                  <c:v>50.761010252926489</c:v>
                </c:pt>
                <c:pt idx="5">
                  <c:v>16.28029543582991</c:v>
                </c:pt>
                <c:pt idx="6">
                  <c:v>16.958306083371326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C8-402F-8A09-4C567E0C0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347487"/>
        <c:axId val="562333087"/>
      </c:lineChart>
      <c:catAx>
        <c:axId val="147772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7727215"/>
        <c:crosses val="autoZero"/>
        <c:auto val="1"/>
        <c:lblAlgn val="ctr"/>
        <c:lblOffset val="100"/>
        <c:noMultiLvlLbl val="0"/>
      </c:catAx>
      <c:valAx>
        <c:axId val="147772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7726735"/>
        <c:crosses val="autoZero"/>
        <c:crossBetween val="between"/>
      </c:valAx>
      <c:valAx>
        <c:axId val="562333087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347487"/>
        <c:crosses val="max"/>
        <c:crossBetween val="between"/>
      </c:valAx>
      <c:catAx>
        <c:axId val="562347487"/>
        <c:scaling>
          <c:orientation val="minMax"/>
        </c:scaling>
        <c:delete val="1"/>
        <c:axPos val="b"/>
        <c:majorTickMark val="out"/>
        <c:minorTickMark val="none"/>
        <c:tickLblPos val="nextTo"/>
        <c:crossAx val="56233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Custos com FERRAMENTAS DE PRODUÇÃO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ALMOXARIFADO!$S$140</c:f>
              <c:strCache>
                <c:ptCount val="1"/>
                <c:pt idx="0">
                  <c:v>Ferramentas Novas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ALMOXARIFADO!$T$139:$AF$139</c:f>
              <c:strCache>
                <c:ptCount val="13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ALMOXARIFADO!$T$140:$AF$140</c:f>
              <c:numCache>
                <c:formatCode>#,##0.00</c:formatCode>
                <c:ptCount val="13"/>
                <c:pt idx="1">
                  <c:v>15541.8</c:v>
                </c:pt>
                <c:pt idx="2">
                  <c:v>21160.6</c:v>
                </c:pt>
                <c:pt idx="3">
                  <c:v>20969.47</c:v>
                </c:pt>
                <c:pt idx="4">
                  <c:v>17163</c:v>
                </c:pt>
                <c:pt idx="5">
                  <c:v>3566</c:v>
                </c:pt>
                <c:pt idx="6">
                  <c:v>23008.010000000002</c:v>
                </c:pt>
                <c:pt idx="7">
                  <c:v>3667.24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E-404E-B730-8E4771EAC122}"/>
            </c:ext>
          </c:extLst>
        </c:ser>
        <c:ser>
          <c:idx val="1"/>
          <c:order val="1"/>
          <c:tx>
            <c:strRef>
              <c:f>ALMOXARIFADO!$S$141</c:f>
              <c:strCache>
                <c:ptCount val="1"/>
                <c:pt idx="0">
                  <c:v>Retrabalhos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ALMOXARIFADO!$T$139:$AF$139</c:f>
              <c:strCache>
                <c:ptCount val="13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ALMOXARIFADO!$T$141:$AF$141</c:f>
              <c:numCache>
                <c:formatCode>#,##0.00</c:formatCode>
                <c:ptCount val="13"/>
                <c:pt idx="1">
                  <c:v>20249</c:v>
                </c:pt>
                <c:pt idx="2">
                  <c:v>24486.48</c:v>
                </c:pt>
                <c:pt idx="3">
                  <c:v>22663.01</c:v>
                </c:pt>
                <c:pt idx="4">
                  <c:v>19684.88</c:v>
                </c:pt>
                <c:pt idx="5">
                  <c:v>26365.010000000002</c:v>
                </c:pt>
                <c:pt idx="6">
                  <c:v>15720.93</c:v>
                </c:pt>
                <c:pt idx="7">
                  <c:v>2068.9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FE-404E-B730-8E4771EAC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9904991"/>
        <c:axId val="1999905951"/>
      </c:barChart>
      <c:lineChart>
        <c:grouping val="standard"/>
        <c:varyColors val="0"/>
        <c:ser>
          <c:idx val="2"/>
          <c:order val="2"/>
          <c:tx>
            <c:strRef>
              <c:f>ALMOXARIFADO!$S$142</c:f>
              <c:strCache>
                <c:ptCount val="1"/>
                <c:pt idx="0">
                  <c:v>Produzido Unidades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ALMOXARIFADO!$T$139:$AF$139</c:f>
              <c:strCache>
                <c:ptCount val="13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ALMOXARIFADO!$T$142:$AF$142</c:f>
              <c:numCache>
                <c:formatCode>#,##0</c:formatCode>
                <c:ptCount val="13"/>
                <c:pt idx="1">
                  <c:v>72892</c:v>
                </c:pt>
                <c:pt idx="2">
                  <c:v>61572</c:v>
                </c:pt>
                <c:pt idx="3">
                  <c:v>64532</c:v>
                </c:pt>
                <c:pt idx="4">
                  <c:v>69278</c:v>
                </c:pt>
                <c:pt idx="5">
                  <c:v>57090</c:v>
                </c:pt>
                <c:pt idx="6" formatCode="#,##0.00">
                  <c:v>37376</c:v>
                </c:pt>
                <c:pt idx="7">
                  <c:v>3069</c:v>
                </c:pt>
                <c:pt idx="8">
                  <c:v>23085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54-4D77-8624-1D5697D00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78863"/>
        <c:axId val="36784623"/>
      </c:lineChart>
      <c:catAx>
        <c:axId val="199990499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9905951"/>
        <c:crosses val="autoZero"/>
        <c:auto val="1"/>
        <c:lblAlgn val="ctr"/>
        <c:lblOffset val="100"/>
        <c:noMultiLvlLbl val="0"/>
      </c:catAx>
      <c:valAx>
        <c:axId val="199990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Valores em Reais R$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9904991"/>
        <c:crosses val="autoZero"/>
        <c:crossBetween val="between"/>
      </c:valAx>
      <c:valAx>
        <c:axId val="3678462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Unidades de Peças produzidas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778863"/>
        <c:crosses val="max"/>
        <c:crossBetween val="between"/>
      </c:valAx>
      <c:catAx>
        <c:axId val="367788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7846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REDUÇÃO DE</a:t>
            </a:r>
            <a:r>
              <a:rPr lang="en-US" baseline="0"/>
              <a:t> CUSTO/</a:t>
            </a:r>
            <a:r>
              <a:rPr lang="en-US"/>
              <a:t>MELHORIAS EM PROCESSOS - QUALIDADE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4985018748363859E-2"/>
          <c:y val="0.13591219892481851"/>
          <c:w val="0.94187297236590184"/>
          <c:h val="0.7059733207733077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QUALIDADE!$A$24</c:f>
              <c:strCache>
                <c:ptCount val="1"/>
                <c:pt idx="0">
                  <c:v>Previsão Redução Mês R$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B0F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QUALIDADE!$B$22:$P$22</c:f>
              <c:strCache>
                <c:ptCount val="15"/>
                <c:pt idx="2">
                  <c:v>jan</c:v>
                </c:pt>
                <c:pt idx="3">
                  <c:v>fev</c:v>
                </c:pt>
                <c:pt idx="4">
                  <c:v>mar</c:v>
                </c:pt>
                <c:pt idx="5">
                  <c:v>abr</c:v>
                </c:pt>
                <c:pt idx="6">
                  <c:v>mai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  <c:pt idx="10">
                  <c:v>set</c:v>
                </c:pt>
                <c:pt idx="11">
                  <c:v>out</c:v>
                </c:pt>
                <c:pt idx="12">
                  <c:v>nov</c:v>
                </c:pt>
                <c:pt idx="13">
                  <c:v>dez</c:v>
                </c:pt>
                <c:pt idx="14">
                  <c:v>Total R$</c:v>
                </c:pt>
              </c:strCache>
            </c:strRef>
          </c:cat>
          <c:val>
            <c:numRef>
              <c:f>QUALIDADE!$B$25:$P$25</c:f>
              <c:numCache>
                <c:formatCode>General</c:formatCode>
                <c:ptCount val="15"/>
                <c:pt idx="2" formatCode="#,##0.00">
                  <c:v>0</c:v>
                </c:pt>
                <c:pt idx="3" formatCode="#,##0.00">
                  <c:v>0</c:v>
                </c:pt>
                <c:pt idx="4" formatCode="#,##0.00">
                  <c:v>0</c:v>
                </c:pt>
                <c:pt idx="5" formatCode="#,##0.00">
                  <c:v>0</c:v>
                </c:pt>
                <c:pt idx="6" formatCode="#,##0.00">
                  <c:v>0</c:v>
                </c:pt>
                <c:pt idx="7" formatCode="#,##0.00">
                  <c:v>0</c:v>
                </c:pt>
                <c:pt idx="8" formatCode="#,##0.00">
                  <c:v>0</c:v>
                </c:pt>
                <c:pt idx="9" formatCode="#,##0.00">
                  <c:v>0</c:v>
                </c:pt>
                <c:pt idx="10" formatCode="#,##0.00">
                  <c:v>0</c:v>
                </c:pt>
                <c:pt idx="11" formatCode="#,##0.00">
                  <c:v>0</c:v>
                </c:pt>
                <c:pt idx="12" formatCode="#,##0.00">
                  <c:v>0</c:v>
                </c:pt>
                <c:pt idx="13" formatCode="#,##0.00">
                  <c:v>0</c:v>
                </c:pt>
                <c:pt idx="14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3E-4FF5-B58A-88E4B4179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7253519"/>
        <c:axId val="1527251599"/>
      </c:barChart>
      <c:lineChart>
        <c:grouping val="standard"/>
        <c:varyColors val="0"/>
        <c:ser>
          <c:idx val="0"/>
          <c:order val="0"/>
          <c:tx>
            <c:strRef>
              <c:f>QUALIDADE!$A$23</c:f>
              <c:strCache>
                <c:ptCount val="1"/>
                <c:pt idx="0">
                  <c:v>Meta</c:v>
                </c:pt>
              </c:strCache>
            </c:strRef>
          </c:tx>
          <c:spPr>
            <a:ln w="34925" cap="rnd">
              <a:solidFill>
                <a:srgbClr val="92D05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QUALIDADE!$B$22:$P$22</c:f>
              <c:strCache>
                <c:ptCount val="15"/>
                <c:pt idx="2">
                  <c:v>jan</c:v>
                </c:pt>
                <c:pt idx="3">
                  <c:v>fev</c:v>
                </c:pt>
                <c:pt idx="4">
                  <c:v>mar</c:v>
                </c:pt>
                <c:pt idx="5">
                  <c:v>abr</c:v>
                </c:pt>
                <c:pt idx="6">
                  <c:v>mai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  <c:pt idx="10">
                  <c:v>set</c:v>
                </c:pt>
                <c:pt idx="11">
                  <c:v>out</c:v>
                </c:pt>
                <c:pt idx="12">
                  <c:v>nov</c:v>
                </c:pt>
                <c:pt idx="13">
                  <c:v>dez</c:v>
                </c:pt>
                <c:pt idx="14">
                  <c:v>Total R$</c:v>
                </c:pt>
              </c:strCache>
            </c:strRef>
          </c:cat>
          <c:val>
            <c:numRef>
              <c:f>QUALIDADE!$B$23:$P$23</c:f>
              <c:numCache>
                <c:formatCode>#,##0.00</c:formatCode>
                <c:ptCount val="15"/>
                <c:pt idx="0">
                  <c:v>126415</c:v>
                </c:pt>
                <c:pt idx="2">
                  <c:v>126415</c:v>
                </c:pt>
                <c:pt idx="3">
                  <c:v>126415</c:v>
                </c:pt>
                <c:pt idx="4">
                  <c:v>126415</c:v>
                </c:pt>
                <c:pt idx="5">
                  <c:v>126415</c:v>
                </c:pt>
                <c:pt idx="6">
                  <c:v>126415</c:v>
                </c:pt>
                <c:pt idx="7">
                  <c:v>126415</c:v>
                </c:pt>
                <c:pt idx="8">
                  <c:v>126415</c:v>
                </c:pt>
                <c:pt idx="9">
                  <c:v>126415</c:v>
                </c:pt>
                <c:pt idx="10">
                  <c:v>126415</c:v>
                </c:pt>
                <c:pt idx="11">
                  <c:v>126415</c:v>
                </c:pt>
                <c:pt idx="12">
                  <c:v>126415</c:v>
                </c:pt>
                <c:pt idx="13">
                  <c:v>126415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E-4FF5-B58A-88E4B4179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253519"/>
        <c:axId val="1527251599"/>
      </c:lineChart>
      <c:catAx>
        <c:axId val="152725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7251599"/>
        <c:crosses val="autoZero"/>
        <c:auto val="1"/>
        <c:lblAlgn val="ctr"/>
        <c:lblOffset val="100"/>
        <c:noMultiLvlLbl val="0"/>
      </c:catAx>
      <c:valAx>
        <c:axId val="152725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725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RECLAMAÇÃO DE CLIENTE VAREJO - 2026</a:t>
            </a:r>
          </a:p>
          <a:p>
            <a:pPr>
              <a:defRPr/>
            </a:pPr>
            <a:r>
              <a:rPr lang="en-US"/>
              <a:t>NºItens Reclamados/Nº Total Vendas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982529566986607E-2"/>
          <c:y val="0.11291881975831398"/>
          <c:w val="0.86259003659458688"/>
          <c:h val="0.75571622077794443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QUALIDADE!$A$60:$B$60</c:f>
              <c:strCache>
                <c:ptCount val="2"/>
                <c:pt idx="0">
                  <c:v>Percentual %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QUALIDADE!$D$56:$O$56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QUALIDADE!$D$60:$O$60</c:f>
              <c:numCache>
                <c:formatCode>0.00%</c:formatCode>
                <c:ptCount val="12"/>
                <c:pt idx="0">
                  <c:v>7.874015748031496E-3</c:v>
                </c:pt>
                <c:pt idx="1">
                  <c:v>1.9594121763470959E-2</c:v>
                </c:pt>
                <c:pt idx="2">
                  <c:v>5.811540058115401E-3</c:v>
                </c:pt>
                <c:pt idx="3">
                  <c:v>8.7421078193297714E-3</c:v>
                </c:pt>
                <c:pt idx="4">
                  <c:v>1.3167013167013167E-2</c:v>
                </c:pt>
                <c:pt idx="5">
                  <c:v>3.1225604996096799E-3</c:v>
                </c:pt>
                <c:pt idx="6">
                  <c:v>1.1797752808988765E-2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46-4CC3-A80F-1C32B8128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133680"/>
        <c:axId val="123129360"/>
      </c:barChart>
      <c:lineChart>
        <c:grouping val="standard"/>
        <c:varyColors val="0"/>
        <c:ser>
          <c:idx val="0"/>
          <c:order val="0"/>
          <c:tx>
            <c:strRef>
              <c:f>QUALIDADE!$A$57</c:f>
              <c:strCache>
                <c:ptCount val="1"/>
                <c:pt idx="0">
                  <c:v>Meta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QUALIDADE!$B$56:$O$56</c:f>
              <c:strCache>
                <c:ptCount val="14"/>
                <c:pt idx="2">
                  <c:v>jan</c:v>
                </c:pt>
                <c:pt idx="3">
                  <c:v>fev</c:v>
                </c:pt>
                <c:pt idx="4">
                  <c:v>mar</c:v>
                </c:pt>
                <c:pt idx="5">
                  <c:v>abr</c:v>
                </c:pt>
                <c:pt idx="6">
                  <c:v>mai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  <c:pt idx="10">
                  <c:v>set</c:v>
                </c:pt>
                <c:pt idx="11">
                  <c:v>out</c:v>
                </c:pt>
                <c:pt idx="12">
                  <c:v>nov</c:v>
                </c:pt>
                <c:pt idx="13">
                  <c:v>dez</c:v>
                </c:pt>
              </c:strCache>
            </c:strRef>
          </c:cat>
          <c:val>
            <c:numRef>
              <c:f>QUALIDADE!$B$57:$O$57</c:f>
              <c:numCache>
                <c:formatCode>0%</c:formatCode>
                <c:ptCount val="14"/>
                <c:pt idx="0" formatCode="0.00%">
                  <c:v>1.4999999999999999E-2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46-4CC3-A80F-1C32B8128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134640"/>
        <c:axId val="123126000"/>
      </c:lineChart>
      <c:catAx>
        <c:axId val="12313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129360"/>
        <c:crosses val="autoZero"/>
        <c:auto val="1"/>
        <c:lblAlgn val="ctr"/>
        <c:lblOffset val="100"/>
        <c:noMultiLvlLbl val="0"/>
      </c:catAx>
      <c:valAx>
        <c:axId val="12312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Unidades de Reclamação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133680"/>
        <c:crosses val="autoZero"/>
        <c:crossBetween val="between"/>
      </c:valAx>
      <c:valAx>
        <c:axId val="1231260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de atedimento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134640"/>
        <c:crosses val="max"/>
        <c:crossBetween val="between"/>
      </c:valAx>
      <c:catAx>
        <c:axId val="1231346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31260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RECLAMAÇÃO CLIENTE ATACADO (SFA+ZF)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838174785737152"/>
          <c:y val="0.11323753416217147"/>
          <c:w val="0.82778126950804887"/>
          <c:h val="0.75502672757182121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QUALIDADE!$T$61</c:f>
              <c:strCache>
                <c:ptCount val="1"/>
                <c:pt idx="0">
                  <c:v>% Reclamação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QUALIDADE!$V$56:$AG$56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QUALIDADE!$V$61:$AG$61</c:f>
              <c:numCache>
                <c:formatCode>0.000%</c:formatCode>
                <c:ptCount val="12"/>
                <c:pt idx="0">
                  <c:v>2.2196662429122021E-4</c:v>
                </c:pt>
                <c:pt idx="1">
                  <c:v>1.6895887540972526E-4</c:v>
                </c:pt>
                <c:pt idx="2">
                  <c:v>1.3750193362094154E-4</c:v>
                </c:pt>
                <c:pt idx="3">
                  <c:v>3.4835113794705065E-4</c:v>
                </c:pt>
                <c:pt idx="4">
                  <c:v>1.5772870662460569E-4</c:v>
                </c:pt>
                <c:pt idx="5">
                  <c:v>1.1854310523664167E-4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E0-453F-BBBD-21DFCFA7A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3527376"/>
        <c:axId val="613525456"/>
      </c:barChart>
      <c:lineChart>
        <c:grouping val="standard"/>
        <c:varyColors val="0"/>
        <c:ser>
          <c:idx val="0"/>
          <c:order val="0"/>
          <c:tx>
            <c:strRef>
              <c:f>QUALIDADE!$T$57</c:f>
              <c:strCache>
                <c:ptCount val="1"/>
                <c:pt idx="0">
                  <c:v>Meta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QUALIDADE!$U$56:$AG$56</c:f>
              <c:strCache>
                <c:ptCount val="13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QUALIDADE!$U$57:$AG$57</c:f>
              <c:numCache>
                <c:formatCode>0%</c:formatCode>
                <c:ptCount val="13"/>
                <c:pt idx="0" formatCode="0.00%">
                  <c:v>1.4999999999999999E-2</c:v>
                </c:pt>
                <c:pt idx="1">
                  <c:v>1.4999999999999999E-2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E0-453F-BBBD-21DFCFA7A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527376"/>
        <c:axId val="613525456"/>
      </c:lineChart>
      <c:catAx>
        <c:axId val="61352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3525456"/>
        <c:crosses val="autoZero"/>
        <c:auto val="1"/>
        <c:lblAlgn val="ctr"/>
        <c:lblOffset val="100"/>
        <c:noMultiLvlLbl val="0"/>
      </c:catAx>
      <c:valAx>
        <c:axId val="61352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RECLAMAÇÃO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352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RECLAMAÇÃO DE CLIENTES GERAL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7538829290193937E-2"/>
          <c:y val="0.11496049038086394"/>
          <c:w val="0.86111851534221073"/>
          <c:h val="0.75129935725890795"/>
        </c:manualLayout>
      </c:layout>
      <c:barChart>
        <c:barDir val="col"/>
        <c:grouping val="clustered"/>
        <c:varyColors val="0"/>
        <c:ser>
          <c:idx val="3"/>
          <c:order val="1"/>
          <c:tx>
            <c:strRef>
              <c:f>QUALIDADE!$AL$60</c:f>
              <c:strCache>
                <c:ptCount val="1"/>
                <c:pt idx="0">
                  <c:v>Mèdia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QUALIDADE!$AN$56:$AY$56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QUALIDADE!$AN$60:$AY$60</c:f>
              <c:numCache>
                <c:formatCode>0.00%</c:formatCode>
                <c:ptCount val="12"/>
                <c:pt idx="0">
                  <c:v>4.0479911861613579E-3</c:v>
                </c:pt>
                <c:pt idx="1">
                  <c:v>9.8815403194403417E-3</c:v>
                </c:pt>
                <c:pt idx="2">
                  <c:v>2.9745209958681714E-3</c:v>
                </c:pt>
                <c:pt idx="3">
                  <c:v>4.5452294786384106E-3</c:v>
                </c:pt>
                <c:pt idx="4">
                  <c:v>6.6623709368188863E-3</c:v>
                </c:pt>
                <c:pt idx="5">
                  <c:v>33747</c:v>
                </c:pt>
                <c:pt idx="6">
                  <c:v>21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DE-49AF-A7DA-8A0FABFCC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2475487"/>
        <c:axId val="1102467327"/>
      </c:barChart>
      <c:lineChart>
        <c:grouping val="standard"/>
        <c:varyColors val="0"/>
        <c:ser>
          <c:idx val="0"/>
          <c:order val="0"/>
          <c:tx>
            <c:strRef>
              <c:f>QUALIDADE!$AL$57</c:f>
              <c:strCache>
                <c:ptCount val="1"/>
                <c:pt idx="0">
                  <c:v>Meta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QUALIDADE!$AN$56:$AY$56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QUALIDADE!$AM$57:$AY$57</c:f>
              <c:numCache>
                <c:formatCode>0%</c:formatCode>
                <c:ptCount val="13"/>
                <c:pt idx="0" formatCode="0.00%">
                  <c:v>1.4999999999999999E-2</c:v>
                </c:pt>
                <c:pt idx="1">
                  <c:v>1.4999999999999999E-2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DE-49AF-A7DA-8A0FABFCC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473087"/>
        <c:axId val="1102481727"/>
      </c:lineChart>
      <c:catAx>
        <c:axId val="110247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2467327"/>
        <c:crosses val="autoZero"/>
        <c:auto val="1"/>
        <c:lblAlgn val="ctr"/>
        <c:lblOffset val="100"/>
        <c:noMultiLvlLbl val="0"/>
      </c:catAx>
      <c:valAx>
        <c:axId val="110246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2475487"/>
        <c:crosses val="autoZero"/>
        <c:crossBetween val="between"/>
      </c:valAx>
      <c:valAx>
        <c:axId val="110248172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2473087"/>
        <c:crosses val="max"/>
        <c:crossBetween val="between"/>
      </c:valAx>
      <c:catAx>
        <c:axId val="1102473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24817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QUALIDADE INTERNA GERAL - (Usinagem+Montagem)</a:t>
            </a:r>
          </a:p>
          <a:p>
            <a:pPr>
              <a:defRPr b="1"/>
            </a:pPr>
            <a:r>
              <a:rPr lang="en-US" b="1"/>
              <a:t> Meta - 4.000 PPM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6512998253429512E-2"/>
          <c:y val="0.12241054384369522"/>
          <c:w val="0.87189389653320948"/>
          <c:h val="0.735182227986727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QUALIDADE!$A$93:$B$93</c:f>
              <c:strCache>
                <c:ptCount val="2"/>
                <c:pt idx="0">
                  <c:v>PPM Usinagem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1AF-46D9-9FA2-B232FA28876F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11F-4DE3-86CC-9F07E58F4418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11F-4DE3-86CC-9F07E58F44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QUALIDADE!$C$91:$O$91</c:f>
              <c:strCache>
                <c:ptCount val="13"/>
                <c:pt idx="0">
                  <c:v>2025</c:v>
                </c:pt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QUALIDADE!$B$93:$O$93</c:f>
              <c:numCache>
                <c:formatCode>General</c:formatCode>
                <c:ptCount val="14"/>
                <c:pt idx="1">
                  <c:v>3917</c:v>
                </c:pt>
                <c:pt idx="2" formatCode="#,##0">
                  <c:v>3034</c:v>
                </c:pt>
                <c:pt idx="3" formatCode="#,##0">
                  <c:v>2680</c:v>
                </c:pt>
                <c:pt idx="4" formatCode="#,##0">
                  <c:v>4974</c:v>
                </c:pt>
                <c:pt idx="5" formatCode="#,##0">
                  <c:v>2772</c:v>
                </c:pt>
                <c:pt idx="6" formatCode="#,##0">
                  <c:v>2576</c:v>
                </c:pt>
                <c:pt idx="7" formatCode="#,##0">
                  <c:v>4772</c:v>
                </c:pt>
                <c:pt idx="8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8B-443B-9F2A-39C2B968522B}"/>
            </c:ext>
          </c:extLst>
        </c:ser>
        <c:ser>
          <c:idx val="2"/>
          <c:order val="2"/>
          <c:tx>
            <c:strRef>
              <c:f>QUALIDADE!$A$94</c:f>
              <c:strCache>
                <c:ptCount val="1"/>
                <c:pt idx="0">
                  <c:v>PPM Montagem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QUALIDADE!$C$91:$O$91</c:f>
              <c:strCache>
                <c:ptCount val="13"/>
                <c:pt idx="0">
                  <c:v>2025</c:v>
                </c:pt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QUALIDADE!$B$94:$O$94</c:f>
              <c:numCache>
                <c:formatCode>General</c:formatCode>
                <c:ptCount val="14"/>
                <c:pt idx="2" formatCode="#,##0">
                  <c:v>0</c:v>
                </c:pt>
                <c:pt idx="3" formatCode="#,##0">
                  <c:v>6850</c:v>
                </c:pt>
                <c:pt idx="4" formatCode="#,##0">
                  <c:v>3726</c:v>
                </c:pt>
                <c:pt idx="5" formatCode="#,##0">
                  <c:v>120</c:v>
                </c:pt>
                <c:pt idx="6" formatCode="#,##0">
                  <c:v>4058</c:v>
                </c:pt>
                <c:pt idx="7" formatCode="#,##0">
                  <c:v>0</c:v>
                </c:pt>
                <c:pt idx="8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8B-443B-9F2A-39C2B9685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05881615"/>
        <c:axId val="1305883055"/>
      </c:barChart>
      <c:lineChart>
        <c:grouping val="standard"/>
        <c:varyColors val="0"/>
        <c:ser>
          <c:idx val="0"/>
          <c:order val="0"/>
          <c:tx>
            <c:strRef>
              <c:f>QUALIDADE!$A$92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QUALIDADE!$B$91:$O$91</c:f>
              <c:strCache>
                <c:ptCount val="14"/>
                <c:pt idx="1">
                  <c:v>2025</c:v>
                </c:pt>
                <c:pt idx="2">
                  <c:v>jan</c:v>
                </c:pt>
                <c:pt idx="3">
                  <c:v>fev</c:v>
                </c:pt>
                <c:pt idx="4">
                  <c:v>mar</c:v>
                </c:pt>
                <c:pt idx="5">
                  <c:v>abr</c:v>
                </c:pt>
                <c:pt idx="6">
                  <c:v>mai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  <c:pt idx="10">
                  <c:v>set</c:v>
                </c:pt>
                <c:pt idx="11">
                  <c:v>out</c:v>
                </c:pt>
                <c:pt idx="12">
                  <c:v>nov</c:v>
                </c:pt>
                <c:pt idx="13">
                  <c:v>dez</c:v>
                </c:pt>
              </c:strCache>
            </c:strRef>
          </c:cat>
          <c:val>
            <c:numRef>
              <c:f>QUALIDADE!$B$92:$O$92</c:f>
              <c:numCache>
                <c:formatCode>#,##0</c:formatCode>
                <c:ptCount val="14"/>
                <c:pt idx="0">
                  <c:v>4000</c:v>
                </c:pt>
                <c:pt idx="2">
                  <c:v>4000</c:v>
                </c:pt>
                <c:pt idx="3">
                  <c:v>4000</c:v>
                </c:pt>
                <c:pt idx="4">
                  <c:v>4000</c:v>
                </c:pt>
                <c:pt idx="5">
                  <c:v>4000</c:v>
                </c:pt>
                <c:pt idx="6">
                  <c:v>4000</c:v>
                </c:pt>
                <c:pt idx="7">
                  <c:v>4000</c:v>
                </c:pt>
                <c:pt idx="8">
                  <c:v>4000</c:v>
                </c:pt>
                <c:pt idx="9">
                  <c:v>4000</c:v>
                </c:pt>
                <c:pt idx="10">
                  <c:v>4000</c:v>
                </c:pt>
                <c:pt idx="11">
                  <c:v>4000</c:v>
                </c:pt>
                <c:pt idx="12">
                  <c:v>4000</c:v>
                </c:pt>
                <c:pt idx="13">
                  <c:v>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8B-443B-9F2A-39C2B968522B}"/>
            </c:ext>
          </c:extLst>
        </c:ser>
        <c:ser>
          <c:idx val="4"/>
          <c:order val="3"/>
          <c:tx>
            <c:strRef>
              <c:f>QUALIDADE!$A$96</c:f>
              <c:strCache>
                <c:ptCount val="1"/>
                <c:pt idx="0">
                  <c:v>PPM Médio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rgbClr val="FFFF00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C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2C7F-4DC6-B041-28136509588E}"/>
              </c:ext>
            </c:extLst>
          </c:dPt>
          <c:cat>
            <c:strRef>
              <c:f>QUALIDADE!$B$91:$O$91</c:f>
              <c:strCache>
                <c:ptCount val="14"/>
                <c:pt idx="1">
                  <c:v>2025</c:v>
                </c:pt>
                <c:pt idx="2">
                  <c:v>jan</c:v>
                </c:pt>
                <c:pt idx="3">
                  <c:v>fev</c:v>
                </c:pt>
                <c:pt idx="4">
                  <c:v>mar</c:v>
                </c:pt>
                <c:pt idx="5">
                  <c:v>abr</c:v>
                </c:pt>
                <c:pt idx="6">
                  <c:v>mai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  <c:pt idx="10">
                  <c:v>set</c:v>
                </c:pt>
                <c:pt idx="11">
                  <c:v>out</c:v>
                </c:pt>
                <c:pt idx="12">
                  <c:v>nov</c:v>
                </c:pt>
                <c:pt idx="13">
                  <c:v>dez</c:v>
                </c:pt>
              </c:strCache>
            </c:strRef>
          </c:cat>
          <c:val>
            <c:numRef>
              <c:f>QUALIDADE!$B$96:$O$96</c:f>
              <c:numCache>
                <c:formatCode>General</c:formatCode>
                <c:ptCount val="14"/>
                <c:pt idx="2" formatCode="#,##0">
                  <c:v>1517</c:v>
                </c:pt>
                <c:pt idx="3" formatCode="#,##0">
                  <c:v>4765</c:v>
                </c:pt>
                <c:pt idx="4" formatCode="#,##0">
                  <c:v>4350</c:v>
                </c:pt>
                <c:pt idx="5" formatCode="#,##0">
                  <c:v>1446</c:v>
                </c:pt>
                <c:pt idx="6" formatCode="#,##0">
                  <c:v>3317</c:v>
                </c:pt>
                <c:pt idx="7" formatCode="#,##0">
                  <c:v>2386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8B-443B-9F2A-39C2B9685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5881615"/>
        <c:axId val="1305883055"/>
      </c:lineChart>
      <c:catAx>
        <c:axId val="130588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83055"/>
        <c:crosses val="autoZero"/>
        <c:auto val="1"/>
        <c:lblAlgn val="ctr"/>
        <c:lblOffset val="100"/>
        <c:noMultiLvlLbl val="0"/>
      </c:catAx>
      <c:valAx>
        <c:axId val="13058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8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QUALIDADE CLIENTE GERAL</a:t>
            </a:r>
          </a:p>
          <a:p>
            <a:pPr>
              <a:defRPr b="1"/>
            </a:pPr>
            <a:r>
              <a:rPr lang="en-US" b="1"/>
              <a:t> Meta - 800PPM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QUALIDADE!$T$93</c:f>
              <c:strCache>
                <c:ptCount val="1"/>
                <c:pt idx="0">
                  <c:v>PPM ZF Brasil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QUALIDADE!$U$91:$AI$91</c:f>
              <c:strCache>
                <c:ptCount val="15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  <c:pt idx="13">
                  <c:v>PPM</c:v>
                </c:pt>
                <c:pt idx="14">
                  <c:v>Res.%</c:v>
                </c:pt>
              </c:strCache>
            </c:strRef>
          </c:cat>
          <c:val>
            <c:numRef>
              <c:f>QUALIDADE!$U$93:$AI$93</c:f>
              <c:numCache>
                <c:formatCode>#,##0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13">
                  <c:v>0</c:v>
                </c:pt>
                <c:pt idx="14" formatCode="0%">
                  <c:v>6.1148226041976042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56-4A95-AC22-3DCBE703F153}"/>
            </c:ext>
          </c:extLst>
        </c:ser>
        <c:ser>
          <c:idx val="2"/>
          <c:order val="2"/>
          <c:tx>
            <c:strRef>
              <c:f>QUALIDADE!$T$94</c:f>
              <c:strCache>
                <c:ptCount val="1"/>
                <c:pt idx="0">
                  <c:v>PPM SFA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QUALIDADE!$U$91:$AI$91</c:f>
              <c:strCache>
                <c:ptCount val="15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  <c:pt idx="13">
                  <c:v>PPM</c:v>
                </c:pt>
                <c:pt idx="14">
                  <c:v>Res.%</c:v>
                </c:pt>
              </c:strCache>
            </c:strRef>
          </c:cat>
          <c:val>
            <c:numRef>
              <c:f>QUALIDADE!$U$94:$AG$94</c:f>
              <c:numCache>
                <c:formatCode>#,##0</c:formatCode>
                <c:ptCount val="13"/>
                <c:pt idx="1">
                  <c:v>155</c:v>
                </c:pt>
                <c:pt idx="2">
                  <c:v>162</c:v>
                </c:pt>
                <c:pt idx="3">
                  <c:v>124</c:v>
                </c:pt>
                <c:pt idx="4">
                  <c:v>332.6</c:v>
                </c:pt>
                <c:pt idx="5">
                  <c:v>158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56-4A95-AC22-3DCBE703F153}"/>
            </c:ext>
          </c:extLst>
        </c:ser>
        <c:ser>
          <c:idx val="3"/>
          <c:order val="3"/>
          <c:tx>
            <c:strRef>
              <c:f>QUALIDADE!$T$95</c:f>
              <c:strCache>
                <c:ptCount val="1"/>
                <c:pt idx="0">
                  <c:v>PPM Varejo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995F-4ECD-A414-A14B1227BF89}"/>
              </c:ext>
            </c:extLst>
          </c:dPt>
          <c:cat>
            <c:strRef>
              <c:f>QUALIDADE!$U$91:$AI$91</c:f>
              <c:strCache>
                <c:ptCount val="15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  <c:pt idx="13">
                  <c:v>PPM</c:v>
                </c:pt>
                <c:pt idx="14">
                  <c:v>Res.%</c:v>
                </c:pt>
              </c:strCache>
            </c:strRef>
          </c:cat>
          <c:val>
            <c:numRef>
              <c:f>QUALIDADE!$U$95:$AG$95</c:f>
              <c:numCache>
                <c:formatCode>#,##0</c:formatCode>
                <c:ptCount val="13"/>
                <c:pt idx="1">
                  <c:v>6060</c:v>
                </c:pt>
                <c:pt idx="2">
                  <c:v>19594</c:v>
                </c:pt>
                <c:pt idx="3">
                  <c:v>5811</c:v>
                </c:pt>
                <c:pt idx="4">
                  <c:v>8742</c:v>
                </c:pt>
                <c:pt idx="5">
                  <c:v>13167.013167013167</c:v>
                </c:pt>
                <c:pt idx="6">
                  <c:v>3115</c:v>
                </c:pt>
                <c:pt idx="7">
                  <c:v>11997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56-4A95-AC22-3DCBE703F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39267407"/>
        <c:axId val="1139256367"/>
      </c:barChart>
      <c:lineChart>
        <c:grouping val="standard"/>
        <c:varyColors val="0"/>
        <c:ser>
          <c:idx val="0"/>
          <c:order val="0"/>
          <c:tx>
            <c:strRef>
              <c:f>QUALIDADE!$T$92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QUALIDADE!$U$91:$AI$91</c:f>
              <c:strCache>
                <c:ptCount val="15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  <c:pt idx="13">
                  <c:v>PPM</c:v>
                </c:pt>
                <c:pt idx="14">
                  <c:v>Res.%</c:v>
                </c:pt>
              </c:strCache>
            </c:strRef>
          </c:cat>
          <c:val>
            <c:numRef>
              <c:f>QUALIDADE!$U$92:$AI$92</c:f>
              <c:numCache>
                <c:formatCode>#,##0</c:formatCode>
                <c:ptCount val="15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  <c:pt idx="12">
                  <c:v>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56-4A95-AC22-3DCBE703F153}"/>
            </c:ext>
          </c:extLst>
        </c:ser>
        <c:ser>
          <c:idx val="4"/>
          <c:order val="4"/>
          <c:tx>
            <c:strRef>
              <c:f>QUALIDADE!$T$96</c:f>
              <c:strCache>
                <c:ptCount val="1"/>
                <c:pt idx="0">
                  <c:v>PPM Médio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QUALIDADE!$U$91:$AI$91</c:f>
              <c:strCache>
                <c:ptCount val="15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  <c:pt idx="13">
                  <c:v>PPM</c:v>
                </c:pt>
                <c:pt idx="14">
                  <c:v>Res.%</c:v>
                </c:pt>
              </c:strCache>
            </c:strRef>
          </c:cat>
          <c:val>
            <c:numRef>
              <c:f>QUALIDADE!$U$96:$AG$96</c:f>
              <c:numCache>
                <c:formatCode>0</c:formatCode>
                <c:ptCount val="13"/>
                <c:pt idx="1">
                  <c:v>3030</c:v>
                </c:pt>
                <c:pt idx="2">
                  <c:v>9797</c:v>
                </c:pt>
                <c:pt idx="3">
                  <c:v>2905.5</c:v>
                </c:pt>
                <c:pt idx="4">
                  <c:v>4371</c:v>
                </c:pt>
                <c:pt idx="5">
                  <c:v>6583.5065835065834</c:v>
                </c:pt>
                <c:pt idx="6">
                  <c:v>1557.5</c:v>
                </c:pt>
                <c:pt idx="7">
                  <c:v>5998.5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56-4A95-AC22-3DCBE703F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267407"/>
        <c:axId val="1139256367"/>
      </c:lineChart>
      <c:catAx>
        <c:axId val="113926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9256367"/>
        <c:crosses val="autoZero"/>
        <c:auto val="1"/>
        <c:lblAlgn val="ctr"/>
        <c:lblOffset val="100"/>
        <c:noMultiLvlLbl val="0"/>
      </c:catAx>
      <c:valAx>
        <c:axId val="113925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926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RECLAMAÇÃO DE CLIENTES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QUALIDADE!$A$121</c:f>
              <c:strCache>
                <c:ptCount val="1"/>
                <c:pt idx="0">
                  <c:v>Tx Reclamação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QUALIDADE!$B$120:$O$120</c:f>
              <c:strCache>
                <c:ptCount val="14"/>
                <c:pt idx="2">
                  <c:v>jan</c:v>
                </c:pt>
                <c:pt idx="3">
                  <c:v>fev</c:v>
                </c:pt>
                <c:pt idx="4">
                  <c:v>mar</c:v>
                </c:pt>
                <c:pt idx="5">
                  <c:v>abr</c:v>
                </c:pt>
                <c:pt idx="6">
                  <c:v>mai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  <c:pt idx="10">
                  <c:v>set</c:v>
                </c:pt>
                <c:pt idx="11">
                  <c:v>out</c:v>
                </c:pt>
                <c:pt idx="12">
                  <c:v>nov</c:v>
                </c:pt>
                <c:pt idx="13">
                  <c:v>dez</c:v>
                </c:pt>
              </c:strCache>
            </c:strRef>
          </c:cat>
          <c:val>
            <c:numRef>
              <c:f>QUALIDADE!$B$121:$O$121</c:f>
              <c:numCache>
                <c:formatCode>General</c:formatCode>
                <c:ptCount val="14"/>
                <c:pt idx="2" formatCode="0.0%">
                  <c:v>9.154929577464789E-2</c:v>
                </c:pt>
                <c:pt idx="3" formatCode="0.0%">
                  <c:v>0.19718309859154928</c:v>
                </c:pt>
                <c:pt idx="4" formatCode="0.0%">
                  <c:v>9.8591549295774641E-2</c:v>
                </c:pt>
                <c:pt idx="5" formatCode="0.0%">
                  <c:v>0.14788732394366197</c:v>
                </c:pt>
                <c:pt idx="6" formatCode="0.0%">
                  <c:v>3.5211267605633804E-2</c:v>
                </c:pt>
                <c:pt idx="7" formatCode="0.0%">
                  <c:v>2.8169014084507043E-2</c:v>
                </c:pt>
                <c:pt idx="8" formatCode="0.0%">
                  <c:v>3.5211267605633804E-2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EC-46DE-84B7-DE05B6A99FB4}"/>
            </c:ext>
          </c:extLst>
        </c:ser>
        <c:ser>
          <c:idx val="3"/>
          <c:order val="1"/>
          <c:tx>
            <c:strRef>
              <c:f>QUALIDADE!$A$122</c:f>
              <c:strCache>
                <c:ptCount val="1"/>
                <c:pt idx="0">
                  <c:v>Reclam/ procedencia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QUALIDADE!$B$120:$O$120</c:f>
              <c:strCache>
                <c:ptCount val="14"/>
                <c:pt idx="2">
                  <c:v>jan</c:v>
                </c:pt>
                <c:pt idx="3">
                  <c:v>fev</c:v>
                </c:pt>
                <c:pt idx="4">
                  <c:v>mar</c:v>
                </c:pt>
                <c:pt idx="5">
                  <c:v>abr</c:v>
                </c:pt>
                <c:pt idx="6">
                  <c:v>mai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  <c:pt idx="10">
                  <c:v>set</c:v>
                </c:pt>
                <c:pt idx="11">
                  <c:v>out</c:v>
                </c:pt>
                <c:pt idx="12">
                  <c:v>nov</c:v>
                </c:pt>
                <c:pt idx="13">
                  <c:v>dez</c:v>
                </c:pt>
              </c:strCache>
            </c:strRef>
          </c:cat>
          <c:val>
            <c:numRef>
              <c:f>QUALIDADE!$B$122:$O$122</c:f>
              <c:numCache>
                <c:formatCode>General</c:formatCode>
                <c:ptCount val="14"/>
                <c:pt idx="2" formatCode="0.0%">
                  <c:v>0.15384615384615385</c:v>
                </c:pt>
                <c:pt idx="3" formatCode="0%">
                  <c:v>1</c:v>
                </c:pt>
                <c:pt idx="4" formatCode="0%">
                  <c:v>1</c:v>
                </c:pt>
                <c:pt idx="5" formatCode="0%">
                  <c:v>1</c:v>
                </c:pt>
                <c:pt idx="6" formatCode="0%">
                  <c:v>1</c:v>
                </c:pt>
                <c:pt idx="7" formatCode="0%">
                  <c:v>1</c:v>
                </c:pt>
                <c:pt idx="8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EC-46DE-84B7-DE05B6A99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971903"/>
        <c:axId val="1045983903"/>
        <c:extLst>
          <c:ext xmlns:c15="http://schemas.microsoft.com/office/drawing/2012/chart" uri="{02D57815-91ED-43cb-92C2-25804820EDAC}">
            <c15:filteredBarSeries>
              <c15:ser>
                <c:idx val="4"/>
                <c:order val="2"/>
                <c:tx>
                  <c:strRef>
                    <c:extLst>
                      <c:ext uri="{02D57815-91ED-43cb-92C2-25804820EDAC}">
                        <c15:formulaRef>
                          <c15:sqref>QUALIDADE!$A$123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QUALIDADE!$B$120:$O$120</c15:sqref>
                        </c15:formulaRef>
                      </c:ext>
                    </c:extLst>
                    <c:strCache>
                      <c:ptCount val="14"/>
                      <c:pt idx="2">
                        <c:v>jan</c:v>
                      </c:pt>
                      <c:pt idx="3">
                        <c:v>fev</c:v>
                      </c:pt>
                      <c:pt idx="4">
                        <c:v>mar</c:v>
                      </c:pt>
                      <c:pt idx="5">
                        <c:v>abr</c:v>
                      </c:pt>
                      <c:pt idx="6">
                        <c:v>mai</c:v>
                      </c:pt>
                      <c:pt idx="7">
                        <c:v>jun</c:v>
                      </c:pt>
                      <c:pt idx="8">
                        <c:v>jul</c:v>
                      </c:pt>
                      <c:pt idx="9">
                        <c:v>ago</c:v>
                      </c:pt>
                      <c:pt idx="10">
                        <c:v>set</c:v>
                      </c:pt>
                      <c:pt idx="11">
                        <c:v>out</c:v>
                      </c:pt>
                      <c:pt idx="12">
                        <c:v>nov</c:v>
                      </c:pt>
                      <c:pt idx="13">
                        <c:v>dez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QUALIDADE!$B$123:$O$123</c15:sqref>
                        </c15:formulaRef>
                      </c:ext>
                    </c:extLst>
                    <c:numCache>
                      <c:formatCode>General</c:formatCode>
                      <c:ptCount val="1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CEC-46DE-84B7-DE05B6A99FB4}"/>
                  </c:ext>
                </c:extLst>
              </c15:ser>
            </c15:filteredBarSeries>
          </c:ext>
        </c:extLst>
      </c:barChart>
      <c:catAx>
        <c:axId val="104597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5983903"/>
        <c:crosses val="autoZero"/>
        <c:auto val="1"/>
        <c:lblAlgn val="ctr"/>
        <c:lblOffset val="100"/>
        <c:noMultiLvlLbl val="0"/>
      </c:catAx>
      <c:valAx>
        <c:axId val="104598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597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REDUÇÃO DE CUSTOS - R$ - MANUTENÇÃO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MANUTENÇÃO!$A$24</c:f>
              <c:strCache>
                <c:ptCount val="1"/>
                <c:pt idx="0">
                  <c:v>Previsão Redução R$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MANUTENÇÃO!$C$22:$O$22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Total R$</c:v>
                </c:pt>
              </c:strCache>
            </c:strRef>
          </c:cat>
          <c:val>
            <c:numRef>
              <c:f>MANUTENÇÃO!$B$24:$O$24</c:f>
              <c:numCache>
                <c:formatCode>#,##0.00</c:formatCode>
                <c:ptCount val="14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D3-485C-BF97-57668A4FAECF}"/>
            </c:ext>
          </c:extLst>
        </c:ser>
        <c:ser>
          <c:idx val="2"/>
          <c:order val="1"/>
          <c:tx>
            <c:strRef>
              <c:f>MANUTENÇÃO!$A$25</c:f>
              <c:strCache>
                <c:ptCount val="1"/>
                <c:pt idx="0">
                  <c:v>Redução R$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096-4CA9-81E2-FC5DF67B60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MANUTENÇÃO!$C$22:$O$22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Total R$</c:v>
                </c:pt>
              </c:strCache>
            </c:strRef>
          </c:cat>
          <c:val>
            <c:numRef>
              <c:f>MANUTENÇÃO!$C$25:$O$25</c:f>
              <c:numCache>
                <c:formatCode>#,##0.00</c:formatCode>
                <c:ptCount val="13"/>
                <c:pt idx="0">
                  <c:v>12169</c:v>
                </c:pt>
                <c:pt idx="1">
                  <c:v>7000</c:v>
                </c:pt>
                <c:pt idx="2">
                  <c:v>0</c:v>
                </c:pt>
                <c:pt idx="3">
                  <c:v>0</c:v>
                </c:pt>
                <c:pt idx="4">
                  <c:v>3350</c:v>
                </c:pt>
                <c:pt idx="5">
                  <c:v>0</c:v>
                </c:pt>
                <c:pt idx="6">
                  <c:v>0</c:v>
                </c:pt>
                <c:pt idx="12">
                  <c:v>22519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8-4955-86DC-9C9D18F63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7253519"/>
        <c:axId val="1527251599"/>
      </c:barChart>
      <c:catAx>
        <c:axId val="152725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7251599"/>
        <c:crosses val="autoZero"/>
        <c:auto val="1"/>
        <c:lblAlgn val="ctr"/>
        <c:lblOffset val="100"/>
        <c:noMultiLvlLbl val="0"/>
      </c:catAx>
      <c:valAx>
        <c:axId val="152725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725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 de Manutenção / Faturamento - %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MANUTENÇÃO!$S$23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8A79-4E34-B983-FEC5BC4E41CD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A79-4E34-B983-FEC5BC4E41CD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D27-4E0C-A8F9-20DAA4AC0825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EF4-4108-A583-63BA16312D40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52A-430A-B5C9-CF6309BF9A0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FAD-41B6-B2C5-A06C8323EF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MANUTENÇÃO!$T$21:$AF$21</c:f>
              <c:strCache>
                <c:ptCount val="13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MANUTENÇÃO!$T$23:$AF$23</c:f>
              <c:numCache>
                <c:formatCode>0.00%</c:formatCode>
                <c:ptCount val="13"/>
                <c:pt idx="1">
                  <c:v>3.1831877825259466E-2</c:v>
                </c:pt>
                <c:pt idx="2">
                  <c:v>1.3491411311449288E-3</c:v>
                </c:pt>
                <c:pt idx="3">
                  <c:v>2.4695374471949312E-2</c:v>
                </c:pt>
                <c:pt idx="4">
                  <c:v>6.9582305454573501E-2</c:v>
                </c:pt>
                <c:pt idx="5">
                  <c:v>2.9372972072132568E-2</c:v>
                </c:pt>
                <c:pt idx="6">
                  <c:v>1.8465709474567316E-2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16-4B9E-8650-63F0034B8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0324703"/>
        <c:axId val="790323743"/>
      </c:barChart>
      <c:lineChart>
        <c:grouping val="stacked"/>
        <c:varyColors val="0"/>
        <c:ser>
          <c:idx val="0"/>
          <c:order val="0"/>
          <c:tx>
            <c:strRef>
              <c:f>MANUTENÇÃO!$S$22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MANUTENÇÃO!$T$21:$AF$21</c:f>
              <c:strCache>
                <c:ptCount val="13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MANUTENÇÃO!$T$22:$AF$22</c:f>
              <c:numCache>
                <c:formatCode>0.00%</c:formatCode>
                <c:ptCount val="13"/>
                <c:pt idx="0">
                  <c:v>2.5000000000000001E-2</c:v>
                </c:pt>
                <c:pt idx="1">
                  <c:v>2.5000000000000001E-2</c:v>
                </c:pt>
                <c:pt idx="2">
                  <c:v>2.5000000000000001E-2</c:v>
                </c:pt>
                <c:pt idx="3">
                  <c:v>2.5000000000000001E-2</c:v>
                </c:pt>
                <c:pt idx="4">
                  <c:v>2.5000000000000001E-2</c:v>
                </c:pt>
                <c:pt idx="5">
                  <c:v>2.5000000000000001E-2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2.5000000000000001E-2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16-4B9E-8650-63F0034B8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0324703"/>
        <c:axId val="790323743"/>
      </c:lineChart>
      <c:catAx>
        <c:axId val="79032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0323743"/>
        <c:crosses val="autoZero"/>
        <c:auto val="1"/>
        <c:lblAlgn val="ctr"/>
        <c:lblOffset val="100"/>
        <c:noMultiLvlLbl val="0"/>
      </c:catAx>
      <c:valAx>
        <c:axId val="79032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032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 de Manutenção / Volume Produzido - R$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MANUTENÇÃO!$AK$23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MANUTENÇÃO!$AM$21:$AX$21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MANUTENÇÃO!$AM$23:$AX$23</c:f>
              <c:numCache>
                <c:formatCode>"R$"\ #,##0.00</c:formatCode>
                <c:ptCount val="12"/>
                <c:pt idx="0">
                  <c:v>0.417116067876593</c:v>
                </c:pt>
                <c:pt idx="1">
                  <c:v>3.1490937439095694E-2</c:v>
                </c:pt>
                <c:pt idx="2">
                  <c:v>0.3302053085826735</c:v>
                </c:pt>
                <c:pt idx="3">
                  <c:v>0.61220531770547648</c:v>
                </c:pt>
                <c:pt idx="4">
                  <c:v>0.37165019277953032</c:v>
                </c:pt>
                <c:pt idx="5">
                  <c:v>0.23966918036840154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A8-44FD-81DA-4441F4607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06571247"/>
        <c:axId val="1206573647"/>
      </c:barChart>
      <c:lineChart>
        <c:grouping val="standard"/>
        <c:varyColors val="0"/>
        <c:ser>
          <c:idx val="0"/>
          <c:order val="0"/>
          <c:tx>
            <c:strRef>
              <c:f>MANUTENÇÃO!$AK$22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MANUTENÇÃO!$AM$21:$AX$21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MANUTENÇÃO!$AM$22:$AX$22</c:f>
              <c:numCache>
                <c:formatCode>"R$"\ #,##0.00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A8-44FD-81DA-4441F4607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6571247"/>
        <c:axId val="1206573647"/>
      </c:lineChart>
      <c:catAx>
        <c:axId val="120657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6573647"/>
        <c:crosses val="autoZero"/>
        <c:auto val="1"/>
        <c:lblAlgn val="ctr"/>
        <c:lblOffset val="100"/>
        <c:noMultiLvlLbl val="0"/>
      </c:catAx>
      <c:valAx>
        <c:axId val="120657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657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REDUÇÃO DE CUSTOS - R$ - PROCESSOS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PROCESSOS!$A$24</c:f>
              <c:strCache>
                <c:ptCount val="1"/>
                <c:pt idx="0">
                  <c:v>Redução R$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PROCESSOS!$B$22:$O$22</c:f>
              <c:strCache>
                <c:ptCount val="14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  <c:pt idx="13">
                  <c:v>Total R$</c:v>
                </c:pt>
              </c:strCache>
            </c:strRef>
          </c:cat>
          <c:val>
            <c:numRef>
              <c:f>PROCESSOS!$B$24:$O$24</c:f>
              <c:numCache>
                <c:formatCode>#,##0.00</c:formatCode>
                <c:ptCount val="14"/>
                <c:pt idx="1">
                  <c:v>3354.75</c:v>
                </c:pt>
                <c:pt idx="2">
                  <c:v>3354.75</c:v>
                </c:pt>
                <c:pt idx="3">
                  <c:v>3354.75</c:v>
                </c:pt>
                <c:pt idx="4">
                  <c:v>3354.75</c:v>
                </c:pt>
                <c:pt idx="13">
                  <c:v>13419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A6-4594-816F-C6DE36907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7253519"/>
        <c:axId val="1527251599"/>
      </c:barChart>
      <c:lineChart>
        <c:grouping val="standard"/>
        <c:varyColors val="0"/>
        <c:ser>
          <c:idx val="0"/>
          <c:order val="0"/>
          <c:tx>
            <c:strRef>
              <c:f>PROCESSOS!$A$23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PROCESSOS!$B$22:$O$22</c:f>
              <c:strCache>
                <c:ptCount val="14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  <c:pt idx="13">
                  <c:v>Total R$</c:v>
                </c:pt>
              </c:strCache>
            </c:strRef>
          </c:cat>
          <c:val>
            <c:numRef>
              <c:f>PROCESSOS!$B$23:$O$23</c:f>
              <c:numCache>
                <c:formatCode>#,##0.00</c:formatCode>
                <c:ptCount val="14"/>
                <c:pt idx="0">
                  <c:v>402391</c:v>
                </c:pt>
                <c:pt idx="1">
                  <c:v>402391</c:v>
                </c:pt>
                <c:pt idx="2">
                  <c:v>402391</c:v>
                </c:pt>
                <c:pt idx="3">
                  <c:v>402391</c:v>
                </c:pt>
                <c:pt idx="4">
                  <c:v>402391</c:v>
                </c:pt>
                <c:pt idx="5">
                  <c:v>402391</c:v>
                </c:pt>
                <c:pt idx="6">
                  <c:v>402391</c:v>
                </c:pt>
                <c:pt idx="7">
                  <c:v>402391</c:v>
                </c:pt>
                <c:pt idx="8">
                  <c:v>402391</c:v>
                </c:pt>
                <c:pt idx="9">
                  <c:v>402391</c:v>
                </c:pt>
                <c:pt idx="10">
                  <c:v>402391</c:v>
                </c:pt>
                <c:pt idx="11">
                  <c:v>402391</c:v>
                </c:pt>
                <c:pt idx="12">
                  <c:v>402391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A6-4594-816F-C6DE36907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253519"/>
        <c:axId val="1527251599"/>
      </c:lineChart>
      <c:catAx>
        <c:axId val="152725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7251599"/>
        <c:crosses val="autoZero"/>
        <c:auto val="1"/>
        <c:lblAlgn val="ctr"/>
        <c:lblOffset val="100"/>
        <c:noMultiLvlLbl val="0"/>
      </c:catAx>
      <c:valAx>
        <c:axId val="152725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Redução</a:t>
                </a:r>
                <a:r>
                  <a:rPr lang="pt-BR" baseline="0"/>
                  <a:t> de Custo -</a:t>
                </a:r>
                <a:r>
                  <a:rPr lang="pt-BR"/>
                  <a:t>Valores em Reais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725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REFUGO USINAGEM MENSAL (%)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PROCESSOS!$A$54</c:f>
              <c:strCache>
                <c:ptCount val="1"/>
                <c:pt idx="0">
                  <c:v>Resultado %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780-436C-977C-CE56DD6B67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PROCESSOS!$B$52:$N$52</c:f>
              <c:strCache>
                <c:ptCount val="13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PROCESSOS!$B$54:$N$54</c:f>
              <c:numCache>
                <c:formatCode>#,##0.00</c:formatCode>
                <c:ptCount val="13"/>
                <c:pt idx="1">
                  <c:v>0.2949366914962207</c:v>
                </c:pt>
                <c:pt idx="2">
                  <c:v>0.27</c:v>
                </c:pt>
                <c:pt idx="3">
                  <c:v>0.5</c:v>
                </c:pt>
                <c:pt idx="4">
                  <c:v>0.28000000000000003</c:v>
                </c:pt>
                <c:pt idx="5">
                  <c:v>0.26</c:v>
                </c:pt>
                <c:pt idx="6">
                  <c:v>0.48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78-4259-AC6F-0B81CC819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65158480"/>
        <c:axId val="265168560"/>
      </c:barChart>
      <c:lineChart>
        <c:grouping val="standard"/>
        <c:varyColors val="0"/>
        <c:ser>
          <c:idx val="0"/>
          <c:order val="0"/>
          <c:tx>
            <c:strRef>
              <c:f>PROCESSOS!$A$53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PROCESSOS!$B$52:$N$52</c:f>
              <c:strCache>
                <c:ptCount val="13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PROCESSOS!$B$53:$N$53</c:f>
              <c:numCache>
                <c:formatCode>#,##0.00</c:formatCode>
                <c:ptCount val="13"/>
                <c:pt idx="0">
                  <c:v>0.38</c:v>
                </c:pt>
                <c:pt idx="1">
                  <c:v>0.38</c:v>
                </c:pt>
                <c:pt idx="2">
                  <c:v>0.38</c:v>
                </c:pt>
                <c:pt idx="3">
                  <c:v>0.38</c:v>
                </c:pt>
                <c:pt idx="4">
                  <c:v>0.38</c:v>
                </c:pt>
                <c:pt idx="5">
                  <c:v>0.38</c:v>
                </c:pt>
                <c:pt idx="6">
                  <c:v>0.38</c:v>
                </c:pt>
                <c:pt idx="7">
                  <c:v>0.38</c:v>
                </c:pt>
                <c:pt idx="8">
                  <c:v>0.38</c:v>
                </c:pt>
                <c:pt idx="9">
                  <c:v>0.38</c:v>
                </c:pt>
                <c:pt idx="10">
                  <c:v>0.38</c:v>
                </c:pt>
                <c:pt idx="11">
                  <c:v>0.38</c:v>
                </c:pt>
                <c:pt idx="12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78-4259-AC6F-0B81CC819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158480"/>
        <c:axId val="265168560"/>
      </c:lineChart>
      <c:catAx>
        <c:axId val="26515848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5168560"/>
        <c:crosses val="autoZero"/>
        <c:auto val="1"/>
        <c:lblAlgn val="ctr"/>
        <c:lblOffset val="100"/>
        <c:noMultiLvlLbl val="0"/>
      </c:catAx>
      <c:valAx>
        <c:axId val="26516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%</a:t>
                </a:r>
                <a:r>
                  <a:rPr lang="pt-BR" baseline="0"/>
                  <a:t> refugo de usinagem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515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RESULTADOS DE AUDITORIA INTERNA NO PROCESSO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PROCESSOS!$A$82</c:f>
              <c:strCache>
                <c:ptCount val="1"/>
                <c:pt idx="0">
                  <c:v>Resultado %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C9E-49ED-84DE-51D24EDE22AB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169-4CCE-A6F6-F028C211E9D3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BB7-4730-B9AE-16F1E65E3D67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BB7-4730-B9AE-16F1E65E3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PROCESSOS!$B$80:$N$80</c:f>
              <c:strCache>
                <c:ptCount val="13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PROCESSOS!$B$82:$N$82</c:f>
              <c:numCache>
                <c:formatCode>#,##0.00</c:formatCode>
                <c:ptCount val="13"/>
                <c:pt idx="1">
                  <c:v>87.69</c:v>
                </c:pt>
                <c:pt idx="2">
                  <c:v>87.69</c:v>
                </c:pt>
                <c:pt idx="3">
                  <c:v>87.69</c:v>
                </c:pt>
                <c:pt idx="4">
                  <c:v>94.95</c:v>
                </c:pt>
                <c:pt idx="5">
                  <c:v>94.95</c:v>
                </c:pt>
                <c:pt idx="6">
                  <c:v>94.95</c:v>
                </c:pt>
                <c:pt idx="7">
                  <c:v>94.95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9E-49ED-84DE-51D24EDE2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2875231"/>
        <c:axId val="442877151"/>
      </c:barChart>
      <c:lineChart>
        <c:grouping val="standard"/>
        <c:varyColors val="0"/>
        <c:ser>
          <c:idx val="0"/>
          <c:order val="0"/>
          <c:tx>
            <c:strRef>
              <c:f>PROCESSOS!$A$81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PROCESSOS!$B$80:$N$80</c:f>
              <c:strCache>
                <c:ptCount val="13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PROCESSOS!$B$81:$N$81</c:f>
              <c:numCache>
                <c:formatCode>#,##0.00</c:formatCode>
                <c:ptCount val="13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9E-49ED-84DE-51D24EDE2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2875231"/>
        <c:axId val="442877151"/>
      </c:lineChart>
      <c:catAx>
        <c:axId val="44287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2877151"/>
        <c:crosses val="autoZero"/>
        <c:auto val="1"/>
        <c:lblAlgn val="ctr"/>
        <c:lblOffset val="100"/>
        <c:noMultiLvlLbl val="0"/>
      </c:catAx>
      <c:valAx>
        <c:axId val="44287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287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EM REAIS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COMERCIAL!$A$25</c:f>
              <c:strCache>
                <c:ptCount val="1"/>
                <c:pt idx="0">
                  <c:v>Vendas Varejo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COMERCIAL!$C$23:$N$23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COMERCIAL!$C$25:$N$25</c:f>
              <c:numCache>
                <c:formatCode>#,##0</c:formatCode>
                <c:ptCount val="12"/>
                <c:pt idx="0">
                  <c:v>128094.34</c:v>
                </c:pt>
                <c:pt idx="1">
                  <c:v>104918</c:v>
                </c:pt>
                <c:pt idx="2">
                  <c:v>162270</c:v>
                </c:pt>
                <c:pt idx="3">
                  <c:v>164480.12</c:v>
                </c:pt>
                <c:pt idx="4">
                  <c:v>159330</c:v>
                </c:pt>
                <c:pt idx="5">
                  <c:v>77074.73</c:v>
                </c:pt>
                <c:pt idx="6">
                  <c:v>186693.33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D0-4DA3-A5DE-BBDE65432A45}"/>
            </c:ext>
          </c:extLst>
        </c:ser>
        <c:ser>
          <c:idx val="2"/>
          <c:order val="2"/>
          <c:tx>
            <c:strRef>
              <c:f>COMERCIAL!$A$26</c:f>
              <c:strCache>
                <c:ptCount val="1"/>
                <c:pt idx="0">
                  <c:v>Vendas ZF Brasil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COMERCIAL!$C$23:$N$23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COMERCIAL!$C$26:$N$26</c:f>
              <c:numCache>
                <c:formatCode>#,##0</c:formatCode>
                <c:ptCount val="12"/>
                <c:pt idx="0">
                  <c:v>569004.44999999995</c:v>
                </c:pt>
                <c:pt idx="1">
                  <c:v>487896</c:v>
                </c:pt>
                <c:pt idx="2">
                  <c:v>700663.26</c:v>
                </c:pt>
                <c:pt idx="3">
                  <c:v>445047.83</c:v>
                </c:pt>
                <c:pt idx="4">
                  <c:v>562638.48</c:v>
                </c:pt>
                <c:pt idx="5">
                  <c:v>447866.92</c:v>
                </c:pt>
                <c:pt idx="6">
                  <c:v>473337.1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D0-4DA3-A5DE-BBDE65432A45}"/>
            </c:ext>
          </c:extLst>
        </c:ser>
        <c:ser>
          <c:idx val="3"/>
          <c:order val="3"/>
          <c:tx>
            <c:strRef>
              <c:f>COMERCIAL!$A$27</c:f>
              <c:strCache>
                <c:ptCount val="1"/>
                <c:pt idx="0">
                  <c:v>Vendas SFA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D0-4DA3-A5DE-BBDE65432A45}"/>
                </c:ext>
              </c:extLst>
            </c:dLbl>
            <c:dLbl>
              <c:idx val="1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F7E-4784-B9F5-F7DA8F05F409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COMERCIAL!$C$23:$N$23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COMERCIAL!$C$27:$N$27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D0-4DA3-A5DE-BBDE65432A45}"/>
            </c:ext>
          </c:extLst>
        </c:ser>
        <c:ser>
          <c:idx val="4"/>
          <c:order val="4"/>
          <c:tx>
            <c:strRef>
              <c:f>COMERCIAL!$A$28</c:f>
              <c:strCache>
                <c:ptCount val="1"/>
                <c:pt idx="0">
                  <c:v>Vendas Exportação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COMERCIAL!$C$23:$N$23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COMERCIAL!$C$28:$N$28</c:f>
              <c:numCache>
                <c:formatCode>#,##0</c:formatCode>
                <c:ptCount val="12"/>
                <c:pt idx="0">
                  <c:v>0</c:v>
                </c:pt>
                <c:pt idx="1">
                  <c:v>46972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D0-4DA3-A5DE-BBDE65432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9510543"/>
        <c:axId val="1179509103"/>
      </c:barChart>
      <c:lineChart>
        <c:grouping val="standard"/>
        <c:varyColors val="0"/>
        <c:ser>
          <c:idx val="0"/>
          <c:order val="0"/>
          <c:tx>
            <c:strRef>
              <c:f>COMERCIAL!$A$24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COMERCIAL!$C$23:$N$23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COMERCIAL!$C$24:$N$24</c:f>
              <c:numCache>
                <c:formatCode>#,##0</c:formatCode>
                <c:ptCount val="12"/>
                <c:pt idx="0">
                  <c:v>19000000</c:v>
                </c:pt>
                <c:pt idx="1">
                  <c:v>19000000</c:v>
                </c:pt>
                <c:pt idx="2">
                  <c:v>19000000</c:v>
                </c:pt>
                <c:pt idx="3">
                  <c:v>19000000</c:v>
                </c:pt>
                <c:pt idx="4">
                  <c:v>19000000</c:v>
                </c:pt>
                <c:pt idx="5">
                  <c:v>19000000</c:v>
                </c:pt>
                <c:pt idx="6">
                  <c:v>19000000</c:v>
                </c:pt>
                <c:pt idx="7">
                  <c:v>19000000</c:v>
                </c:pt>
                <c:pt idx="8">
                  <c:v>19000000</c:v>
                </c:pt>
                <c:pt idx="9">
                  <c:v>19000000</c:v>
                </c:pt>
                <c:pt idx="10">
                  <c:v>19000000</c:v>
                </c:pt>
                <c:pt idx="11">
                  <c:v>19000000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D0-4DA3-A5DE-BBDE65432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5749120"/>
        <c:axId val="1785749600"/>
      </c:lineChart>
      <c:catAx>
        <c:axId val="117951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9509103"/>
        <c:crosses val="autoZero"/>
        <c:auto val="1"/>
        <c:lblAlgn val="ctr"/>
        <c:lblOffset val="100"/>
        <c:noMultiLvlLbl val="0"/>
      </c:catAx>
      <c:valAx>
        <c:axId val="117950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9510543"/>
        <c:crosses val="autoZero"/>
        <c:crossBetween val="between"/>
      </c:valAx>
      <c:valAx>
        <c:axId val="1785749600"/>
        <c:scaling>
          <c:orientation val="minMax"/>
        </c:scaling>
        <c:delete val="0"/>
        <c:axPos val="r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5749120"/>
        <c:crosses val="max"/>
        <c:crossBetween val="between"/>
      </c:valAx>
      <c:catAx>
        <c:axId val="17857491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85749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EM UNIDADES DE PEÇAS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COMERCIAL!$R$25</c:f>
              <c:strCache>
                <c:ptCount val="1"/>
                <c:pt idx="0">
                  <c:v>Vendas Varejo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COMERCIAL!$S$23:$AE$23</c:f>
              <c:strCache>
                <c:ptCount val="13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COMERCIAL!$S$25:$AE$25</c:f>
              <c:numCache>
                <c:formatCode>#,##0</c:formatCode>
                <c:ptCount val="13"/>
                <c:pt idx="1">
                  <c:v>1655</c:v>
                </c:pt>
                <c:pt idx="2">
                  <c:v>1429</c:v>
                </c:pt>
                <c:pt idx="3">
                  <c:v>2409</c:v>
                </c:pt>
                <c:pt idx="4">
                  <c:v>2059</c:v>
                </c:pt>
                <c:pt idx="5">
                  <c:v>1443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8A-4D0D-ABB0-5C0CFB612225}"/>
            </c:ext>
          </c:extLst>
        </c:ser>
        <c:ser>
          <c:idx val="2"/>
          <c:order val="2"/>
          <c:tx>
            <c:strRef>
              <c:f>COMERCIAL!$R$26</c:f>
              <c:strCache>
                <c:ptCount val="1"/>
                <c:pt idx="0">
                  <c:v>Vendas ZF Brasil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COMERCIAL!$S$23:$AE$23</c:f>
              <c:strCache>
                <c:ptCount val="13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COMERCIAL!$S$26:$AE$26</c:f>
              <c:numCache>
                <c:formatCode>#,##0</c:formatCode>
                <c:ptCount val="13"/>
                <c:pt idx="1">
                  <c:v>6864</c:v>
                </c:pt>
                <c:pt idx="2">
                  <c:v>5756</c:v>
                </c:pt>
                <c:pt idx="3">
                  <c:v>8576</c:v>
                </c:pt>
                <c:pt idx="4">
                  <c:v>8331</c:v>
                </c:pt>
                <c:pt idx="5">
                  <c:v>3466</c:v>
                </c:pt>
                <c:pt idx="6">
                  <c:v>3632</c:v>
                </c:pt>
                <c:pt idx="7">
                  <c:v>1446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8A-4D0D-ABB0-5C0CFB612225}"/>
            </c:ext>
          </c:extLst>
        </c:ser>
        <c:ser>
          <c:idx val="3"/>
          <c:order val="3"/>
          <c:tx>
            <c:strRef>
              <c:f>COMERCIAL!$R$27</c:f>
              <c:strCache>
                <c:ptCount val="1"/>
                <c:pt idx="0">
                  <c:v>Vendas SFA (Serviço)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COMERCIAL!$S$23:$AE$23</c:f>
              <c:strCache>
                <c:ptCount val="13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COMERCIAL!$S$27:$AE$27</c:f>
              <c:numCache>
                <c:formatCode>#,##0</c:formatCode>
                <c:ptCount val="13"/>
                <c:pt idx="1">
                  <c:v>42693</c:v>
                </c:pt>
                <c:pt idx="2">
                  <c:v>53430</c:v>
                </c:pt>
                <c:pt idx="3">
                  <c:v>58181</c:v>
                </c:pt>
                <c:pt idx="4">
                  <c:v>51953</c:v>
                </c:pt>
                <c:pt idx="5">
                  <c:v>57060</c:v>
                </c:pt>
                <c:pt idx="6">
                  <c:v>33744</c:v>
                </c:pt>
                <c:pt idx="7">
                  <c:v>2953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8A-4D0D-ABB0-5C0CFB612225}"/>
            </c:ext>
          </c:extLst>
        </c:ser>
        <c:ser>
          <c:idx val="4"/>
          <c:order val="4"/>
          <c:tx>
            <c:strRef>
              <c:f>COMERCIAL!$R$28</c:f>
              <c:strCache>
                <c:ptCount val="1"/>
                <c:pt idx="0">
                  <c:v>Vendas Exportação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COMERCIAL!$S$23:$AE$23</c:f>
              <c:strCache>
                <c:ptCount val="13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COMERCIAL!$S$28:$AE$28</c:f>
              <c:numCache>
                <c:formatCode>#,##0</c:formatCode>
                <c:ptCount val="13"/>
                <c:pt idx="1">
                  <c:v>0</c:v>
                </c:pt>
                <c:pt idx="2">
                  <c:v>1353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8A-4D0D-ABB0-5C0CFB612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354319"/>
        <c:axId val="16835239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COMERCIAL!$R$24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COMERCIAL!$S$23:$AE$23</c15:sqref>
                        </c15:formulaRef>
                      </c:ext>
                    </c:extLst>
                    <c:strCache>
                      <c:ptCount val="13"/>
                      <c:pt idx="1">
                        <c:v>jan</c:v>
                      </c:pt>
                      <c:pt idx="2">
                        <c:v>fev</c:v>
                      </c:pt>
                      <c:pt idx="3">
                        <c:v>mar</c:v>
                      </c:pt>
                      <c:pt idx="4">
                        <c:v>abr</c:v>
                      </c:pt>
                      <c:pt idx="5">
                        <c:v>mai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ago</c:v>
                      </c:pt>
                      <c:pt idx="9">
                        <c:v>set</c:v>
                      </c:pt>
                      <c:pt idx="10">
                        <c:v>out</c:v>
                      </c:pt>
                      <c:pt idx="11">
                        <c:v>nov</c:v>
                      </c:pt>
                      <c:pt idx="12">
                        <c:v>dez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COMERCIAL!$S$24:$AE$24</c15:sqref>
                        </c15:formulaRef>
                      </c:ext>
                    </c:extLst>
                    <c:numCache>
                      <c:formatCode>#,##0</c:formatCode>
                      <c:ptCount val="1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48A-4D0D-ABB0-5C0CFB612225}"/>
                  </c:ext>
                </c:extLst>
              </c15:ser>
            </c15:filteredBarSeries>
          </c:ext>
        </c:extLst>
      </c:barChart>
      <c:catAx>
        <c:axId val="16835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352399"/>
        <c:crosses val="autoZero"/>
        <c:auto val="1"/>
        <c:lblAlgn val="ctr"/>
        <c:lblOffset val="100"/>
        <c:noMultiLvlLbl val="0"/>
      </c:catAx>
      <c:valAx>
        <c:axId val="16835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35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REDUÇÃO DE CUSTOS - R$ - ENGENHARIA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8124883162266099E-2"/>
          <c:y val="0.12411055373697161"/>
          <c:w val="0.92751011668246441"/>
          <c:h val="0.709457540091618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ENGENHARIA!$A$26</c:f>
              <c:strCache>
                <c:ptCount val="1"/>
                <c:pt idx="0">
                  <c:v>Redução Acumulada R$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ENGENHARIA!$C$22:$O$22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Total R$</c:v>
                </c:pt>
              </c:strCache>
            </c:strRef>
          </c:cat>
          <c:val>
            <c:numRef>
              <c:f>ENGENHARIA!$C$26:$N$26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59-4C92-AC96-A7A715EA75D3}"/>
            </c:ext>
          </c:extLst>
        </c:ser>
        <c:ser>
          <c:idx val="2"/>
          <c:order val="2"/>
          <c:tx>
            <c:strRef>
              <c:f>ENGENHARIA!$A$24</c:f>
              <c:strCache>
                <c:ptCount val="1"/>
                <c:pt idx="0">
                  <c:v>Previsão Redução Mês R$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ENGENHARIA!$C$24:$N$24</c:f>
              <c:numCache>
                <c:formatCode>#,##0.00</c:formatCode>
                <c:ptCount val="12"/>
                <c:pt idx="0">
                  <c:v>74932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78-4AFD-9E95-AB734EE1E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7253519"/>
        <c:axId val="1527251599"/>
      </c:barChart>
      <c:lineChart>
        <c:grouping val="standard"/>
        <c:varyColors val="0"/>
        <c:ser>
          <c:idx val="0"/>
          <c:order val="0"/>
          <c:tx>
            <c:strRef>
              <c:f>ENGENHARIA!$A$23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ENGENHARIA!$C$22:$N$22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ENGENHARIA!$B$23:$O$23</c:f>
              <c:numCache>
                <c:formatCode>#,##0.00</c:formatCode>
                <c:ptCount val="14"/>
                <c:pt idx="0">
                  <c:v>406115</c:v>
                </c:pt>
                <c:pt idx="1">
                  <c:v>406115</c:v>
                </c:pt>
                <c:pt idx="2">
                  <c:v>406115</c:v>
                </c:pt>
                <c:pt idx="3">
                  <c:v>406115</c:v>
                </c:pt>
                <c:pt idx="4">
                  <c:v>406115</c:v>
                </c:pt>
                <c:pt idx="5">
                  <c:v>406115</c:v>
                </c:pt>
                <c:pt idx="6">
                  <c:v>406115</c:v>
                </c:pt>
                <c:pt idx="7">
                  <c:v>406115</c:v>
                </c:pt>
                <c:pt idx="8">
                  <c:v>406115</c:v>
                </c:pt>
                <c:pt idx="9">
                  <c:v>406115</c:v>
                </c:pt>
                <c:pt idx="10">
                  <c:v>406115</c:v>
                </c:pt>
                <c:pt idx="11">
                  <c:v>406115</c:v>
                </c:pt>
                <c:pt idx="12">
                  <c:v>406115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59-4C92-AC96-A7A715EA7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253519"/>
        <c:axId val="1527251599"/>
      </c:lineChart>
      <c:catAx>
        <c:axId val="152725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7251599"/>
        <c:crosses val="autoZero"/>
        <c:auto val="1"/>
        <c:lblAlgn val="ctr"/>
        <c:lblOffset val="100"/>
        <c:noMultiLvlLbl val="0"/>
      </c:catAx>
      <c:valAx>
        <c:axId val="152725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725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PROJETOS IMPLANTADOS X REDUÇÃO ACUMULADA (Unidades x Reais)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2"/>
          <c:tx>
            <c:strRef>
              <c:f>ENGENHARIA!$A$55</c:f>
              <c:strCache>
                <c:ptCount val="1"/>
                <c:pt idx="0">
                  <c:v>Redução Prevista R$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ENGENHARIA!$C$52:$O$52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Total</c:v>
                </c:pt>
              </c:strCache>
            </c:strRef>
          </c:cat>
          <c:val>
            <c:numRef>
              <c:f>ENGENHARIA!$C$55:$N$55</c:f>
              <c:numCache>
                <c:formatCode>#,##0.00</c:formatCode>
                <c:ptCount val="12"/>
                <c:pt idx="0">
                  <c:v>74932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35-4F5A-9101-68A56143B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88403056"/>
        <c:axId val="2088409296"/>
      </c:barChart>
      <c:barChart>
        <c:barDir val="col"/>
        <c:grouping val="clustered"/>
        <c:varyColors val="0"/>
        <c:ser>
          <c:idx val="1"/>
          <c:order val="1"/>
          <c:tx>
            <c:strRef>
              <c:f>ENGENHARIA!$A$54</c:f>
              <c:strCache>
                <c:ptCount val="1"/>
                <c:pt idx="0">
                  <c:v>Projetos Implantados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ENGENHARIA!$B$52:$O$52</c:f>
              <c:strCache>
                <c:ptCount val="14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  <c:pt idx="13">
                  <c:v>Total</c:v>
                </c:pt>
              </c:strCache>
            </c:strRef>
          </c:cat>
          <c:val>
            <c:numRef>
              <c:f>ENGENHARIA!$C$54:$O$54</c:f>
              <c:numCache>
                <c:formatCode>#,##0</c:formatCode>
                <c:ptCount val="13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11</c:v>
                </c:pt>
                <c:pt idx="1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35-4F5A-9101-68A56143B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7678816"/>
        <c:axId val="2087676896"/>
      </c:barChart>
      <c:lineChart>
        <c:grouping val="standard"/>
        <c:varyColors val="0"/>
        <c:ser>
          <c:idx val="0"/>
          <c:order val="0"/>
          <c:tx>
            <c:strRef>
              <c:f>ENGENHARIA!$A$53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ENGENHARIA!$C$52:$O$52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Total</c:v>
                </c:pt>
              </c:strCache>
            </c:strRef>
          </c:cat>
          <c:val>
            <c:numRef>
              <c:f>ENGENHARIA!$C$53:$N$53</c:f>
              <c:numCache>
                <c:formatCode>#,##0</c:formatCode>
                <c:ptCount val="12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35-4F5A-9101-68A56143B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7678816"/>
        <c:axId val="2087676896"/>
      </c:lineChart>
      <c:catAx>
        <c:axId val="208840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8409296"/>
        <c:crosses val="autoZero"/>
        <c:auto val="1"/>
        <c:lblAlgn val="ctr"/>
        <c:lblOffset val="100"/>
        <c:noMultiLvlLbl val="0"/>
      </c:catAx>
      <c:valAx>
        <c:axId val="208840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Redução de Custo em Reais R$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8403056"/>
        <c:crosses val="autoZero"/>
        <c:crossBetween val="between"/>
      </c:valAx>
      <c:valAx>
        <c:axId val="20876768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Quantidade de produtos Implantados</a:t>
                </a:r>
              </a:p>
            </c:rich>
          </c:tx>
          <c:layout>
            <c:manualLayout>
              <c:xMode val="edge"/>
              <c:yMode val="edge"/>
              <c:x val="0.97655619134564697"/>
              <c:y val="0.211421324209297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7678816"/>
        <c:crosses val="max"/>
        <c:crossBetween val="between"/>
      </c:valAx>
      <c:catAx>
        <c:axId val="20876788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87676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PRODUTOS IMPLANTADOS MÊS - 2026 (UNIDADES)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ENGENHARIA!$S$54</c:f>
              <c:strCache>
                <c:ptCount val="1"/>
                <c:pt idx="0">
                  <c:v>Projetos Implantados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ENGENHARIA!$T$52:$AF$52</c:f>
              <c:strCache>
                <c:ptCount val="13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ENGENHARIA!$T$54:$AF$54</c:f>
              <c:numCache>
                <c:formatCode>#,##0</c:formatCode>
                <c:ptCount val="13"/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09-4294-9241-197F517C1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99909536"/>
        <c:axId val="1599916256"/>
      </c:barChart>
      <c:lineChart>
        <c:grouping val="standard"/>
        <c:varyColors val="0"/>
        <c:ser>
          <c:idx val="0"/>
          <c:order val="0"/>
          <c:tx>
            <c:strRef>
              <c:f>ENGENHARIA!$S$53</c:f>
              <c:strCache>
                <c:ptCount val="1"/>
                <c:pt idx="0">
                  <c:v>Meta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ENGENHARIA!$T$52:$AH$52</c:f>
              <c:strCache>
                <c:ptCount val="15"/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  <c:pt idx="13">
                  <c:v>Total</c:v>
                </c:pt>
                <c:pt idx="14">
                  <c:v>Res.%</c:v>
                </c:pt>
              </c:strCache>
            </c:strRef>
          </c:cat>
          <c:val>
            <c:numRef>
              <c:f>ENGENHARIA!$T$53:$AH$53</c:f>
              <c:numCache>
                <c:formatCode>#,##0</c:formatCode>
                <c:ptCount val="15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09-4294-9241-197F517C1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9909536"/>
        <c:axId val="1599916256"/>
      </c:lineChart>
      <c:catAx>
        <c:axId val="159990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9916256"/>
        <c:crosses val="autoZero"/>
        <c:auto val="1"/>
        <c:lblAlgn val="ctr"/>
        <c:lblOffset val="100"/>
        <c:noMultiLvlLbl val="0"/>
      </c:catAx>
      <c:valAx>
        <c:axId val="159991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Unidades de Produtos Implantados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990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image" Target="../media/image4.png"/><Relationship Id="rId5" Type="http://schemas.microsoft.com/office/2007/relationships/hdphoto" Target="../media/hdphoto1.wdp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3.xml"/><Relationship Id="rId1" Type="http://schemas.openxmlformats.org/officeDocument/2006/relationships/image" Target="../media/image4.png"/><Relationship Id="rId6" Type="http://schemas.microsoft.com/office/2007/relationships/hdphoto" Target="../media/hdphoto1.wdp"/><Relationship Id="rId5" Type="http://schemas.openxmlformats.org/officeDocument/2006/relationships/image" Target="../media/image3.png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7.xml"/><Relationship Id="rId7" Type="http://schemas.microsoft.com/office/2007/relationships/hdphoto" Target="../media/hdphoto2.wdp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image" Target="../media/image5.png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chart" Target="../charts/chart10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svg"/><Relationship Id="rId3" Type="http://schemas.openxmlformats.org/officeDocument/2006/relationships/image" Target="../media/image6.png"/><Relationship Id="rId7" Type="http://schemas.openxmlformats.org/officeDocument/2006/relationships/image" Target="../media/image8.png"/><Relationship Id="rId2" Type="http://schemas.openxmlformats.org/officeDocument/2006/relationships/hyperlink" Target="#BSC!A1"/><Relationship Id="rId1" Type="http://schemas.openxmlformats.org/officeDocument/2006/relationships/chart" Target="../charts/chart13.xml"/><Relationship Id="rId6" Type="http://schemas.openxmlformats.org/officeDocument/2006/relationships/hyperlink" Target="#S.Produtividade!A1"/><Relationship Id="rId5" Type="http://schemas.openxmlformats.org/officeDocument/2006/relationships/image" Target="../media/image7.png"/><Relationship Id="rId4" Type="http://schemas.openxmlformats.org/officeDocument/2006/relationships/hyperlink" Target="#'Produtividade P&#199;S'!Area_de_impressao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image" Target="../media/image4.png"/><Relationship Id="rId4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11" Type="http://schemas.openxmlformats.org/officeDocument/2006/relationships/image" Target="../media/image4.png"/><Relationship Id="rId5" Type="http://schemas.openxmlformats.org/officeDocument/2006/relationships/chart" Target="../charts/chart21.xml"/><Relationship Id="rId10" Type="http://schemas.openxmlformats.org/officeDocument/2006/relationships/image" Target="../media/image2.png"/><Relationship Id="rId4" Type="http://schemas.openxmlformats.org/officeDocument/2006/relationships/chart" Target="../charts/chart20.xml"/><Relationship Id="rId9" Type="http://schemas.openxmlformats.org/officeDocument/2006/relationships/chart" Target="../charts/chart25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2" Type="http://schemas.openxmlformats.org/officeDocument/2006/relationships/image" Target="../media/image10.png"/><Relationship Id="rId1" Type="http://schemas.openxmlformats.org/officeDocument/2006/relationships/chart" Target="../charts/chart26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image" Target="../media/image10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image" Target="../media/image10.png"/><Relationship Id="rId1" Type="http://schemas.openxmlformats.org/officeDocument/2006/relationships/chart" Target="../charts/chart36.xml"/><Relationship Id="rId4" Type="http://schemas.openxmlformats.org/officeDocument/2006/relationships/chart" Target="../charts/chart38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image" Target="../media/image10.png"/><Relationship Id="rId1" Type="http://schemas.openxmlformats.org/officeDocument/2006/relationships/chart" Target="../charts/chart39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image" Target="../media/image10.png"/><Relationship Id="rId1" Type="http://schemas.openxmlformats.org/officeDocument/2006/relationships/chart" Target="../charts/chart41.xml"/><Relationship Id="rId4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704407</xdr:colOff>
      <xdr:row>1</xdr:row>
      <xdr:rowOff>33227</xdr:rowOff>
    </xdr:from>
    <xdr:to>
      <xdr:col>16</xdr:col>
      <xdr:colOff>431948</xdr:colOff>
      <xdr:row>25</xdr:row>
      <xdr:rowOff>14841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247650</xdr:colOff>
      <xdr:row>1</xdr:row>
      <xdr:rowOff>47625</xdr:rowOff>
    </xdr:from>
    <xdr:to>
      <xdr:col>15</xdr:col>
      <xdr:colOff>413561</xdr:colOff>
      <xdr:row>8</xdr:row>
      <xdr:rowOff>187934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5900"/>
                  </a14:imgEffect>
                  <a14:imgEffect>
                    <a14:brightnessContrast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0" y="238125"/>
          <a:ext cx="1385111" cy="14738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0.00473</cdr:x>
      <cdr:y>0.01116</cdr:y>
    </cdr:from>
    <cdr:to>
      <cdr:x>0.11311</cdr:x>
      <cdr:y>0.12692</cdr:y>
    </cdr:to>
    <cdr:pic>
      <cdr:nvPicPr>
        <cdr:cNvPr id="2" name="Imagem 1">
          <a:extLst xmlns:a="http://schemas.openxmlformats.org/drawingml/2006/main">
            <a:ext uri="{FF2B5EF4-FFF2-40B4-BE49-F238E27FC236}">
              <a16:creationId xmlns:a16="http://schemas.microsoft.com/office/drawing/2014/main" id="{A73E67DD-3ED0-40C5-8F2B-6408097CE37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1163775" cy="527122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  <a:effectLst xmlns:a="http://schemas.openxmlformats.org/drawingml/2006/main">
          <a:softEdge rad="112500"/>
        </a:effectLst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214401</xdr:colOff>
      <xdr:row>4</xdr:row>
      <xdr:rowOff>121831</xdr:rowOff>
    </xdr:from>
    <xdr:to>
      <xdr:col>15</xdr:col>
      <xdr:colOff>108459</xdr:colOff>
      <xdr:row>8</xdr:row>
      <xdr:rowOff>7530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5251" y="883831"/>
          <a:ext cx="646533" cy="647699"/>
        </a:xfrm>
        <a:prstGeom prst="rect">
          <a:avLst/>
        </a:prstGeom>
      </xdr:spPr>
    </xdr:pic>
    <xdr:clientData/>
  </xdr:twoCellAnchor>
  <xdr:twoCellAnchor>
    <xdr:from>
      <xdr:col>0</xdr:col>
      <xdr:colOff>232587</xdr:colOff>
      <xdr:row>1</xdr:row>
      <xdr:rowOff>33227</xdr:rowOff>
    </xdr:from>
    <xdr:to>
      <xdr:col>17</xdr:col>
      <xdr:colOff>0</xdr:colOff>
      <xdr:row>25</xdr:row>
      <xdr:rowOff>14841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474330</xdr:colOff>
      <xdr:row>1</xdr:row>
      <xdr:rowOff>168836</xdr:rowOff>
    </xdr:from>
    <xdr:to>
      <xdr:col>3</xdr:col>
      <xdr:colOff>70094</xdr:colOff>
      <xdr:row>4</xdr:row>
      <xdr:rowOff>118036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9360" y="354690"/>
          <a:ext cx="1175521" cy="506761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13</xdr:col>
      <xdr:colOff>527663</xdr:colOff>
      <xdr:row>4</xdr:row>
      <xdr:rowOff>36251</xdr:rowOff>
    </xdr:from>
    <xdr:to>
      <xdr:col>15</xdr:col>
      <xdr:colOff>402713</xdr:colOff>
      <xdr:row>12</xdr:row>
      <xdr:rowOff>23231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colorTemperature colorTemp="5900"/>
                  </a14:imgEffect>
                  <a14:imgEffect>
                    <a14:brightnessContrast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19309" y="779666"/>
          <a:ext cx="1385111" cy="14738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214401</xdr:colOff>
      <xdr:row>4</xdr:row>
      <xdr:rowOff>121831</xdr:rowOff>
    </xdr:from>
    <xdr:to>
      <xdr:col>15</xdr:col>
      <xdr:colOff>108460</xdr:colOff>
      <xdr:row>8</xdr:row>
      <xdr:rowOff>7530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5251" y="883831"/>
          <a:ext cx="646533" cy="647699"/>
        </a:xfrm>
        <a:prstGeom prst="rect">
          <a:avLst/>
        </a:prstGeom>
      </xdr:spPr>
    </xdr:pic>
    <xdr:clientData/>
  </xdr:twoCellAnchor>
  <xdr:twoCellAnchor>
    <xdr:from>
      <xdr:col>0</xdr:col>
      <xdr:colOff>232587</xdr:colOff>
      <xdr:row>1</xdr:row>
      <xdr:rowOff>33227</xdr:rowOff>
    </xdr:from>
    <xdr:to>
      <xdr:col>17</xdr:col>
      <xdr:colOff>0</xdr:colOff>
      <xdr:row>25</xdr:row>
      <xdr:rowOff>14841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498205</xdr:colOff>
      <xdr:row>1</xdr:row>
      <xdr:rowOff>109262</xdr:rowOff>
    </xdr:from>
    <xdr:to>
      <xdr:col>2</xdr:col>
      <xdr:colOff>24536</xdr:colOff>
      <xdr:row>4</xdr:row>
      <xdr:rowOff>58462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8205" y="301902"/>
          <a:ext cx="1163775" cy="527122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oneCellAnchor>
    <xdr:from>
      <xdr:col>14</xdr:col>
      <xdr:colOff>214401</xdr:colOff>
      <xdr:row>43</xdr:row>
      <xdr:rowOff>121831</xdr:rowOff>
    </xdr:from>
    <xdr:ext cx="647198" cy="638838"/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5251" y="8122831"/>
          <a:ext cx="647198" cy="638838"/>
        </a:xfrm>
        <a:prstGeom prst="rect">
          <a:avLst/>
        </a:prstGeom>
      </xdr:spPr>
    </xdr:pic>
    <xdr:clientData/>
  </xdr:oneCellAnchor>
  <xdr:twoCellAnchor>
    <xdr:from>
      <xdr:col>1</xdr:col>
      <xdr:colOff>53511</xdr:colOff>
      <xdr:row>40</xdr:row>
      <xdr:rowOff>33227</xdr:rowOff>
    </xdr:from>
    <xdr:to>
      <xdr:col>17</xdr:col>
      <xdr:colOff>53510</xdr:colOff>
      <xdr:row>64</xdr:row>
      <xdr:rowOff>14841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2</xdr:col>
      <xdr:colOff>235449</xdr:colOff>
      <xdr:row>40</xdr:row>
      <xdr:rowOff>185525</xdr:rowOff>
    </xdr:from>
    <xdr:ext cx="1241855" cy="544815"/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72893" y="7891143"/>
          <a:ext cx="1241855" cy="54481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oneCellAnchor>
  <xdr:twoCellAnchor editAs="oneCell">
    <xdr:from>
      <xdr:col>13</xdr:col>
      <xdr:colOff>545815</xdr:colOff>
      <xdr:row>4</xdr:row>
      <xdr:rowOff>0</xdr:rowOff>
    </xdr:from>
    <xdr:to>
      <xdr:col>15</xdr:col>
      <xdr:colOff>432611</xdr:colOff>
      <xdr:row>11</xdr:row>
      <xdr:rowOff>125326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colorTemperature colorTemp="5900"/>
                  </a14:imgEffect>
                  <a14:imgEffect>
                    <a14:brightnessContrast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6798" y="770562"/>
          <a:ext cx="1385111" cy="14738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535113</xdr:colOff>
      <xdr:row>42</xdr:row>
      <xdr:rowOff>74916</xdr:rowOff>
    </xdr:from>
    <xdr:to>
      <xdr:col>15</xdr:col>
      <xdr:colOff>421909</xdr:colOff>
      <xdr:row>50</xdr:row>
      <xdr:rowOff>7602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colorTemperature colorTemp="5900"/>
                  </a14:imgEffect>
                  <a14:imgEffect>
                    <a14:brightnessContrast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23652" y="8165815"/>
          <a:ext cx="1385111" cy="14738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</xdr:row>
      <xdr:rowOff>28575</xdr:rowOff>
    </xdr:from>
    <xdr:to>
      <xdr:col>14</xdr:col>
      <xdr:colOff>190500</xdr:colOff>
      <xdr:row>19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200025</xdr:colOff>
      <xdr:row>1</xdr:row>
      <xdr:rowOff>0</xdr:rowOff>
    </xdr:from>
    <xdr:to>
      <xdr:col>32</xdr:col>
      <xdr:colOff>28575</xdr:colOff>
      <xdr:row>19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171449</xdr:colOff>
      <xdr:row>28</xdr:row>
      <xdr:rowOff>38100</xdr:rowOff>
    </xdr:from>
    <xdr:to>
      <xdr:col>32</xdr:col>
      <xdr:colOff>9524</xdr:colOff>
      <xdr:row>48</xdr:row>
      <xdr:rowOff>80962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28</xdr:row>
      <xdr:rowOff>9525</xdr:rowOff>
    </xdr:from>
    <xdr:to>
      <xdr:col>14</xdr:col>
      <xdr:colOff>9524</xdr:colOff>
      <xdr:row>49</xdr:row>
      <xdr:rowOff>71437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447674</xdr:colOff>
      <xdr:row>56</xdr:row>
      <xdr:rowOff>114300</xdr:rowOff>
    </xdr:from>
    <xdr:to>
      <xdr:col>14</xdr:col>
      <xdr:colOff>161925</xdr:colOff>
      <xdr:row>74</xdr:row>
      <xdr:rowOff>119062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590551</xdr:colOff>
      <xdr:row>56</xdr:row>
      <xdr:rowOff>142876</xdr:rowOff>
    </xdr:from>
    <xdr:to>
      <xdr:col>13</xdr:col>
      <xdr:colOff>320237</xdr:colOff>
      <xdr:row>62</xdr:row>
      <xdr:rowOff>9526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colorTemperature colorTemp="5900"/>
                  </a14:imgEffect>
                  <a14:imgEffect>
                    <a14:brightnessContrast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9526" y="10810876"/>
          <a:ext cx="948886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152400</xdr:colOff>
      <xdr:row>28</xdr:row>
      <xdr:rowOff>38100</xdr:rowOff>
    </xdr:from>
    <xdr:to>
      <xdr:col>13</xdr:col>
      <xdr:colOff>491686</xdr:colOff>
      <xdr:row>33</xdr:row>
      <xdr:rowOff>95250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colorTemperature colorTemp="5900"/>
                  </a14:imgEffect>
                  <a14:imgEffect>
                    <a14:brightnessContrast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5372100"/>
          <a:ext cx="948886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200025</xdr:colOff>
      <xdr:row>1</xdr:row>
      <xdr:rowOff>95250</xdr:rowOff>
    </xdr:from>
    <xdr:to>
      <xdr:col>13</xdr:col>
      <xdr:colOff>539311</xdr:colOff>
      <xdr:row>6</xdr:row>
      <xdr:rowOff>152400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colorTemperature colorTemp="5900"/>
                  </a14:imgEffect>
                  <a14:imgEffect>
                    <a14:brightnessContrast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0" y="285750"/>
          <a:ext cx="948886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95250</xdr:colOff>
      <xdr:row>1</xdr:row>
      <xdr:rowOff>76200</xdr:rowOff>
    </xdr:from>
    <xdr:to>
      <xdr:col>31</xdr:col>
      <xdr:colOff>434536</xdr:colOff>
      <xdr:row>6</xdr:row>
      <xdr:rowOff>133350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colorTemperature colorTemp="5900"/>
                  </a14:imgEffect>
                  <a14:imgEffect>
                    <a14:brightnessContrast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16625" y="266700"/>
          <a:ext cx="948886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171450</xdr:colOff>
      <xdr:row>28</xdr:row>
      <xdr:rowOff>104775</xdr:rowOff>
    </xdr:from>
    <xdr:to>
      <xdr:col>31</xdr:col>
      <xdr:colOff>510736</xdr:colOff>
      <xdr:row>33</xdr:row>
      <xdr:rowOff>161925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colorTemperature colorTemp="5900"/>
                  </a14:imgEffect>
                  <a14:imgEffect>
                    <a14:brightnessContrast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92825" y="5438775"/>
          <a:ext cx="948886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1</xdr:row>
      <xdr:rowOff>76200</xdr:rowOff>
    </xdr:from>
    <xdr:to>
      <xdr:col>2</xdr:col>
      <xdr:colOff>649425</xdr:colOff>
      <xdr:row>4</xdr:row>
      <xdr:rowOff>31822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4850" y="266700"/>
          <a:ext cx="1163775" cy="527122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16</xdr:col>
      <xdr:colOff>400050</xdr:colOff>
      <xdr:row>1</xdr:row>
      <xdr:rowOff>66675</xdr:rowOff>
    </xdr:from>
    <xdr:to>
      <xdr:col>18</xdr:col>
      <xdr:colOff>344625</xdr:colOff>
      <xdr:row>4</xdr:row>
      <xdr:rowOff>22297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87025" y="257175"/>
          <a:ext cx="1163775" cy="527122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</xdr:col>
      <xdr:colOff>514350</xdr:colOff>
      <xdr:row>28</xdr:row>
      <xdr:rowOff>95250</xdr:rowOff>
    </xdr:from>
    <xdr:to>
      <xdr:col>3</xdr:col>
      <xdr:colOff>392250</xdr:colOff>
      <xdr:row>31</xdr:row>
      <xdr:rowOff>50872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23950" y="5429250"/>
          <a:ext cx="1163775" cy="527122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0.01821</cdr:x>
      <cdr:y>0.03296</cdr:y>
    </cdr:from>
    <cdr:to>
      <cdr:x>0.13954</cdr:x>
      <cdr:y>0.16978</cdr:y>
    </cdr:to>
    <cdr:pic>
      <cdr:nvPicPr>
        <cdr:cNvPr id="2" name="Imagem 1">
          <a:extLst xmlns:a="http://schemas.openxmlformats.org/drawingml/2006/main">
            <a:ext uri="{FF2B5EF4-FFF2-40B4-BE49-F238E27FC236}">
              <a16:creationId xmlns:a16="http://schemas.microsoft.com/office/drawing/2014/main" id="{A73E67DD-3ED0-40C5-8F2B-6408097CE37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74625" y="127000"/>
          <a:ext cx="1163775" cy="527122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  <a:effectLst xmlns:a="http://schemas.openxmlformats.org/drawingml/2006/main">
          <a:softEdge rad="112500"/>
        </a:effectLst>
      </cdr:spPr>
    </cdr:pic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90237</xdr:colOff>
      <xdr:row>0</xdr:row>
      <xdr:rowOff>76200</xdr:rowOff>
    </xdr:from>
    <xdr:to>
      <xdr:col>15</xdr:col>
      <xdr:colOff>70184</xdr:colOff>
      <xdr:row>20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254168</xdr:colOff>
      <xdr:row>0</xdr:row>
      <xdr:rowOff>140369</xdr:rowOff>
    </xdr:from>
    <xdr:to>
      <xdr:col>14</xdr:col>
      <xdr:colOff>672767</xdr:colOff>
      <xdr:row>3</xdr:row>
      <xdr:rowOff>89569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7957" y="140369"/>
          <a:ext cx="1170574" cy="5207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14</xdr:col>
      <xdr:colOff>15041</xdr:colOff>
      <xdr:row>3</xdr:row>
      <xdr:rowOff>150554</xdr:rowOff>
    </xdr:from>
    <xdr:to>
      <xdr:col>14</xdr:col>
      <xdr:colOff>662239</xdr:colOff>
      <xdr:row>7</xdr:row>
      <xdr:rowOff>36253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30804" y="722054"/>
          <a:ext cx="647198" cy="647699"/>
        </a:xfrm>
        <a:prstGeom prst="rect">
          <a:avLst/>
        </a:prstGeom>
      </xdr:spPr>
    </xdr:pic>
    <xdr:clientData/>
  </xdr:twoCellAnchor>
  <xdr:twoCellAnchor>
    <xdr:from>
      <xdr:col>1</xdr:col>
      <xdr:colOff>330868</xdr:colOff>
      <xdr:row>35</xdr:row>
      <xdr:rowOff>98961</xdr:rowOff>
    </xdr:from>
    <xdr:to>
      <xdr:col>15</xdr:col>
      <xdr:colOff>310816</xdr:colOff>
      <xdr:row>56</xdr:row>
      <xdr:rowOff>72735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299042</xdr:colOff>
      <xdr:row>64</xdr:row>
      <xdr:rowOff>155058</xdr:rowOff>
    </xdr:from>
    <xdr:to>
      <xdr:col>16</xdr:col>
      <xdr:colOff>77531</xdr:colOff>
      <xdr:row>86</xdr:row>
      <xdr:rowOff>110756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0.88578</cdr:x>
      <cdr:y>0.03044</cdr:y>
    </cdr:from>
    <cdr:to>
      <cdr:x>0.99034</cdr:x>
      <cdr:y>0.16146</cdr:y>
    </cdr:to>
    <cdr:pic>
      <cdr:nvPicPr>
        <cdr:cNvPr id="2" name="Imagem 1">
          <a:extLst xmlns:a="http://schemas.openxmlformats.org/drawingml/2006/main">
            <a:ext uri="{FF2B5EF4-FFF2-40B4-BE49-F238E27FC236}">
              <a16:creationId xmlns:a16="http://schemas.microsoft.com/office/drawing/2014/main" id="{7FB8D955-6426-1BA6-16D5-BEF4F60A21F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9916695" y="120984"/>
          <a:ext cx="1170574" cy="52070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  <a:effectLst xmlns:a="http://schemas.openxmlformats.org/drawingml/2006/main">
          <a:softEdge rad="112500"/>
        </a:effectLst>
      </cdr:spPr>
    </cdr:pic>
  </cdr:relSizeAnchor>
  <cdr:relSizeAnchor xmlns:cdr="http://schemas.openxmlformats.org/drawingml/2006/chartDrawing">
    <cdr:from>
      <cdr:x>0.93338</cdr:x>
      <cdr:y>0.17428</cdr:y>
    </cdr:from>
    <cdr:to>
      <cdr:x>0.99284</cdr:x>
      <cdr:y>0.32072</cdr:y>
    </cdr:to>
    <cdr:pic>
      <cdr:nvPicPr>
        <cdr:cNvPr id="3" name="Imagem 2">
          <a:extLst xmlns:a="http://schemas.openxmlformats.org/drawingml/2006/main">
            <a:ext uri="{FF2B5EF4-FFF2-40B4-BE49-F238E27FC236}">
              <a16:creationId xmlns:a16="http://schemas.microsoft.com/office/drawing/2014/main" id="{C56EF2B2-4BA8-57F5-9542-481C1B8B7B5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9143120" y="692635"/>
          <a:ext cx="582405" cy="582009"/>
        </a:xfrm>
        <a:prstGeom xmlns:a="http://schemas.openxmlformats.org/drawingml/2006/main" prst="rect">
          <a:avLst/>
        </a:prstGeom>
      </cdr:spPr>
    </cdr:pic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0.89746</cdr:x>
      <cdr:y>0.01299</cdr:y>
    </cdr:from>
    <cdr:to>
      <cdr:x>0.9945</cdr:x>
      <cdr:y>0.14466</cdr:y>
    </cdr:to>
    <cdr:pic>
      <cdr:nvPicPr>
        <cdr:cNvPr id="2" name="Imagem 1">
          <a:extLst xmlns:a="http://schemas.openxmlformats.org/drawingml/2006/main">
            <a:ext uri="{FF2B5EF4-FFF2-40B4-BE49-F238E27FC236}">
              <a16:creationId xmlns:a16="http://schemas.microsoft.com/office/drawing/2014/main" id="{EFBDDB27-1C4E-7E57-5FA3-8B00F99A8D9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9830539" y="50800"/>
          <a:ext cx="1062969" cy="514769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  <a:effectLst xmlns:a="http://schemas.openxmlformats.org/drawingml/2006/main">
          <a:softEdge rad="112500"/>
        </a:effectLst>
      </cdr:spPr>
    </cdr:pic>
  </cdr:relSizeAnchor>
  <cdr:relSizeAnchor xmlns:cdr="http://schemas.openxmlformats.org/drawingml/2006/chartDrawing">
    <cdr:from>
      <cdr:x>0.9386</cdr:x>
      <cdr:y>0.15754</cdr:y>
    </cdr:from>
    <cdr:to>
      <cdr:x>0.99378</cdr:x>
      <cdr:y>0.30471</cdr:y>
    </cdr:to>
    <cdr:pic>
      <cdr:nvPicPr>
        <cdr:cNvPr id="3" name="Imagem 2">
          <a:extLst xmlns:a="http://schemas.openxmlformats.org/drawingml/2006/main">
            <a:ext uri="{FF2B5EF4-FFF2-40B4-BE49-F238E27FC236}">
              <a16:creationId xmlns:a16="http://schemas.microsoft.com/office/drawing/2014/main" id="{D6BBD611-B7AE-DA00-FCFF-44826B2E843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10281168" y="615940"/>
          <a:ext cx="604425" cy="575392"/>
        </a:xfrm>
        <a:prstGeom xmlns:a="http://schemas.openxmlformats.org/drawingml/2006/main" prst="rect">
          <a:avLst/>
        </a:prstGeom>
      </cdr:spPr>
    </cdr:pic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1</xdr:row>
      <xdr:rowOff>0</xdr:rowOff>
    </xdr:from>
    <xdr:to>
      <xdr:col>10</xdr:col>
      <xdr:colOff>1276350</xdr:colOff>
      <xdr:row>5</xdr:row>
      <xdr:rowOff>228600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409575</xdr:colOff>
      <xdr:row>23</xdr:row>
      <xdr:rowOff>57150</xdr:rowOff>
    </xdr:from>
    <xdr:to>
      <xdr:col>10</xdr:col>
      <xdr:colOff>1238250</xdr:colOff>
      <xdr:row>31</xdr:row>
      <xdr:rowOff>133349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8410575" y="7391400"/>
          <a:ext cx="3419475" cy="1371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900">
              <a:effectLst/>
            </a:rPr>
            <a:t>---------------------------------------------------------------5W</a:t>
          </a:r>
        </a:p>
        <a:p>
          <a:r>
            <a:rPr lang="pt-BR" sz="900">
              <a:effectLst/>
            </a:rPr>
            <a:t>What – O que será feito (etapas)</a:t>
          </a:r>
          <a:br>
            <a:rPr lang="pt-BR" sz="900">
              <a:effectLst/>
            </a:rPr>
          </a:br>
          <a:r>
            <a:rPr lang="pt-BR" sz="900">
              <a:effectLst/>
            </a:rPr>
            <a:t>Why – Por que será feito (justificativa)</a:t>
          </a:r>
          <a:br>
            <a:rPr lang="pt-BR" sz="900">
              <a:effectLst/>
            </a:rPr>
          </a:br>
          <a:r>
            <a:rPr lang="pt-BR" sz="900">
              <a:effectLst/>
            </a:rPr>
            <a:t>Where – Onde será feito (local)</a:t>
          </a:r>
          <a:br>
            <a:rPr lang="pt-BR" sz="900">
              <a:effectLst/>
            </a:rPr>
          </a:br>
          <a:r>
            <a:rPr lang="pt-BR" sz="900">
              <a:effectLst/>
            </a:rPr>
            <a:t>When – Quando será feito (tempo)</a:t>
          </a:r>
          <a:br>
            <a:rPr lang="pt-BR" sz="900">
              <a:effectLst/>
            </a:rPr>
          </a:br>
          <a:r>
            <a:rPr lang="pt-BR" sz="900">
              <a:effectLst/>
            </a:rPr>
            <a:t>Who – Por quem será feito (responsabilidade)</a:t>
          </a:r>
        </a:p>
        <a:p>
          <a:r>
            <a:rPr lang="pt-BR" sz="900">
              <a:effectLst/>
            </a:rPr>
            <a:t>----------------------------------------------------------------2H</a:t>
          </a:r>
          <a:br>
            <a:rPr lang="pt-BR" sz="900">
              <a:effectLst/>
            </a:rPr>
          </a:br>
          <a:r>
            <a:rPr lang="pt-BR" sz="900">
              <a:effectLst/>
            </a:rPr>
            <a:t>How – Como será feito (método)</a:t>
          </a:r>
          <a:br>
            <a:rPr lang="pt-BR" sz="900">
              <a:effectLst/>
            </a:rPr>
          </a:br>
          <a:r>
            <a:rPr lang="pt-BR" sz="900">
              <a:effectLst/>
            </a:rPr>
            <a:t>How much – Quanto custará fazer (custo)</a:t>
          </a:r>
          <a:endParaRPr lang="pt-BR" sz="900"/>
        </a:p>
      </xdr:txBody>
    </xdr:sp>
    <xdr:clientData/>
  </xdr:twoCellAnchor>
  <xdr:twoCellAnchor editAs="oneCell">
    <xdr:from>
      <xdr:col>9</xdr:col>
      <xdr:colOff>114300</xdr:colOff>
      <xdr:row>1</xdr:row>
      <xdr:rowOff>19050</xdr:rowOff>
    </xdr:from>
    <xdr:to>
      <xdr:col>9</xdr:col>
      <xdr:colOff>438150</xdr:colOff>
      <xdr:row>2</xdr:row>
      <xdr:rowOff>152400</xdr:rowOff>
    </xdr:to>
    <xdr:pic>
      <xdr:nvPicPr>
        <xdr:cNvPr id="9" name="Gráfico 7" descr="Abrir pasta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19050"/>
          <a:ext cx="3238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971550</xdr:colOff>
      <xdr:row>1</xdr:row>
      <xdr:rowOff>66675</xdr:rowOff>
    </xdr:from>
    <xdr:to>
      <xdr:col>9</xdr:col>
      <xdr:colOff>1238250</xdr:colOff>
      <xdr:row>2</xdr:row>
      <xdr:rowOff>142875</xdr:rowOff>
    </xdr:to>
    <xdr:pic>
      <xdr:nvPicPr>
        <xdr:cNvPr id="10" name="Gráfico 21" descr="Gráfico de barra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66675"/>
          <a:ext cx="2667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571500</xdr:colOff>
      <xdr:row>1</xdr:row>
      <xdr:rowOff>66675</xdr:rowOff>
    </xdr:from>
    <xdr:to>
      <xdr:col>9</xdr:col>
      <xdr:colOff>866776</xdr:colOff>
      <xdr:row>2</xdr:row>
      <xdr:rowOff>171451</xdr:rowOff>
    </xdr:to>
    <xdr:pic>
      <xdr:nvPicPr>
        <xdr:cNvPr id="11" name="Gráfico 10" descr="Apresentação com gráfico de barra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867900" y="66675"/>
          <a:ext cx="295276" cy="29527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542924</xdr:colOff>
      <xdr:row>0</xdr:row>
      <xdr:rowOff>76200</xdr:rowOff>
    </xdr:from>
    <xdr:to>
      <xdr:col>15</xdr:col>
      <xdr:colOff>38100</xdr:colOff>
      <xdr:row>20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330112</xdr:colOff>
      <xdr:row>35</xdr:row>
      <xdr:rowOff>65240</xdr:rowOff>
    </xdr:from>
    <xdr:to>
      <xdr:col>15</xdr:col>
      <xdr:colOff>52191</xdr:colOff>
      <xdr:row>54</xdr:row>
      <xdr:rowOff>53757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486687</xdr:colOff>
      <xdr:row>63</xdr:row>
      <xdr:rowOff>39144</xdr:rowOff>
    </xdr:from>
    <xdr:to>
      <xdr:col>15</xdr:col>
      <xdr:colOff>26095</xdr:colOff>
      <xdr:row>84</xdr:row>
      <xdr:rowOff>14614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565977</xdr:colOff>
      <xdr:row>63</xdr:row>
      <xdr:rowOff>96630</xdr:rowOff>
    </xdr:from>
    <xdr:to>
      <xdr:col>14</xdr:col>
      <xdr:colOff>220070</xdr:colOff>
      <xdr:row>66</xdr:row>
      <xdr:rowOff>30997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31412" y="11499021"/>
          <a:ext cx="1172571" cy="51415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13</xdr:col>
      <xdr:colOff>423400</xdr:colOff>
      <xdr:row>66</xdr:row>
      <xdr:rowOff>81329</xdr:rowOff>
    </xdr:from>
    <xdr:to>
      <xdr:col>14</xdr:col>
      <xdr:colOff>229615</xdr:colOff>
      <xdr:row>69</xdr:row>
      <xdr:rowOff>141067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65248" y="12063503"/>
          <a:ext cx="648280" cy="639521"/>
        </a:xfrm>
        <a:prstGeom prst="rect">
          <a:avLst/>
        </a:prstGeom>
      </xdr:spPr>
    </xdr:pic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0.85735</cdr:x>
      <cdr:y>0.02887</cdr:y>
    </cdr:from>
    <cdr:to>
      <cdr:x>0.98862</cdr:x>
      <cdr:y>0.16815</cdr:y>
    </cdr:to>
    <cdr:pic>
      <cdr:nvPicPr>
        <cdr:cNvPr id="2" name="Imagem 1">
          <a:extLst xmlns:a="http://schemas.openxmlformats.org/drawingml/2006/main">
            <a:ext uri="{FF2B5EF4-FFF2-40B4-BE49-F238E27FC236}">
              <a16:creationId xmlns:a16="http://schemas.microsoft.com/office/drawing/2014/main" id="{7FB8D955-6426-1BA6-16D5-BEF4F60A21F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651750" y="107950"/>
          <a:ext cx="1171576" cy="52070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  <a:effectLst xmlns:a="http://schemas.openxmlformats.org/drawingml/2006/main">
          <a:softEdge rad="112500"/>
        </a:effectLst>
      </cdr:spPr>
    </cdr:pic>
  </cdr:relSizeAnchor>
  <cdr:relSizeAnchor xmlns:cdr="http://schemas.openxmlformats.org/drawingml/2006/chartDrawing">
    <cdr:from>
      <cdr:x>0.91498</cdr:x>
      <cdr:y>0.18178</cdr:y>
    </cdr:from>
    <cdr:to>
      <cdr:x>0.98755</cdr:x>
      <cdr:y>0.35503</cdr:y>
    </cdr:to>
    <cdr:pic>
      <cdr:nvPicPr>
        <cdr:cNvPr id="3" name="Imagem 2">
          <a:extLst xmlns:a="http://schemas.openxmlformats.org/drawingml/2006/main">
            <a:ext uri="{FF2B5EF4-FFF2-40B4-BE49-F238E27FC236}">
              <a16:creationId xmlns:a16="http://schemas.microsoft.com/office/drawing/2014/main" id="{C56EF2B2-4BA8-57F5-9542-481C1B8B7B5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8166101" y="679608"/>
          <a:ext cx="647699" cy="647699"/>
        </a:xfrm>
        <a:prstGeom xmlns:a="http://schemas.openxmlformats.org/drawingml/2006/main" prst="rect">
          <a:avLst/>
        </a:prstGeom>
      </cdr:spPr>
    </cdr:pic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0.87667</cdr:x>
      <cdr:y>0.02074</cdr:y>
    </cdr:from>
    <cdr:to>
      <cdr:x>0.99337</cdr:x>
      <cdr:y>0.1612</cdr:y>
    </cdr:to>
    <cdr:pic>
      <cdr:nvPicPr>
        <cdr:cNvPr id="2" name="Imagem 1">
          <a:extLst xmlns:a="http://schemas.openxmlformats.org/drawingml/2006/main">
            <a:ext uri="{FF2B5EF4-FFF2-40B4-BE49-F238E27FC236}">
              <a16:creationId xmlns:a16="http://schemas.microsoft.com/office/drawing/2014/main" id="{7FB8D955-6426-1BA6-16D5-BEF4F60A21F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792924" y="76896"/>
          <a:ext cx="1170574" cy="52070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  <a:effectLst xmlns:a="http://schemas.openxmlformats.org/drawingml/2006/main">
          <a:softEdge rad="112500"/>
        </a:effectLst>
      </cdr:spPr>
    </cdr:pic>
  </cdr:relSizeAnchor>
  <cdr:relSizeAnchor xmlns:cdr="http://schemas.openxmlformats.org/drawingml/2006/chartDrawing">
    <cdr:from>
      <cdr:x>0.9298</cdr:x>
      <cdr:y>0.17495</cdr:y>
    </cdr:from>
    <cdr:to>
      <cdr:x>0.99432</cdr:x>
      <cdr:y>0.34966</cdr:y>
    </cdr:to>
    <cdr:pic>
      <cdr:nvPicPr>
        <cdr:cNvPr id="3" name="Imagem 2">
          <a:extLst xmlns:a="http://schemas.openxmlformats.org/drawingml/2006/main">
            <a:ext uri="{FF2B5EF4-FFF2-40B4-BE49-F238E27FC236}">
              <a16:creationId xmlns:a16="http://schemas.microsoft.com/office/drawing/2014/main" id="{C56EF2B2-4BA8-57F5-9542-481C1B8B7B5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9325824" y="648554"/>
          <a:ext cx="647198" cy="647699"/>
        </a:xfrm>
        <a:prstGeom xmlns:a="http://schemas.openxmlformats.org/drawingml/2006/main" prst="rect">
          <a:avLst/>
        </a:prstGeom>
      </cdr:spPr>
    </cdr:pic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76200</xdr:rowOff>
    </xdr:from>
    <xdr:to>
      <xdr:col>16</xdr:col>
      <xdr:colOff>240862</xdr:colOff>
      <xdr:row>20</xdr:row>
      <xdr:rowOff>142328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319688</xdr:colOff>
      <xdr:row>28</xdr:row>
      <xdr:rowOff>164224</xdr:rowOff>
    </xdr:from>
    <xdr:to>
      <xdr:col>14</xdr:col>
      <xdr:colOff>613103</xdr:colOff>
      <xdr:row>50</xdr:row>
      <xdr:rowOff>118022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275897</xdr:colOff>
      <xdr:row>58</xdr:row>
      <xdr:rowOff>76638</xdr:rowOff>
    </xdr:from>
    <xdr:to>
      <xdr:col>15</xdr:col>
      <xdr:colOff>602155</xdr:colOff>
      <xdr:row>76</xdr:row>
      <xdr:rowOff>118022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390525</xdr:colOff>
      <xdr:row>84</xdr:row>
      <xdr:rowOff>32845</xdr:rowOff>
    </xdr:from>
    <xdr:to>
      <xdr:col>30</xdr:col>
      <xdr:colOff>504825</xdr:colOff>
      <xdr:row>102</xdr:row>
      <xdr:rowOff>107073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441402</xdr:colOff>
      <xdr:row>84</xdr:row>
      <xdr:rowOff>0</xdr:rowOff>
    </xdr:from>
    <xdr:to>
      <xdr:col>14</xdr:col>
      <xdr:colOff>43793</xdr:colOff>
      <xdr:row>102</xdr:row>
      <xdr:rowOff>128971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209085</xdr:colOff>
      <xdr:row>121</xdr:row>
      <xdr:rowOff>116159</xdr:rowOff>
    </xdr:from>
    <xdr:to>
      <xdr:col>14</xdr:col>
      <xdr:colOff>685336</xdr:colOff>
      <xdr:row>137</xdr:row>
      <xdr:rowOff>111279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333375</xdr:colOff>
      <xdr:row>146</xdr:row>
      <xdr:rowOff>0</xdr:rowOff>
    </xdr:from>
    <xdr:to>
      <xdr:col>13</xdr:col>
      <xdr:colOff>545946</xdr:colOff>
      <xdr:row>162</xdr:row>
      <xdr:rowOff>111280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472765</xdr:colOff>
      <xdr:row>146</xdr:row>
      <xdr:rowOff>58079</xdr:rowOff>
    </xdr:from>
    <xdr:to>
      <xdr:col>32</xdr:col>
      <xdr:colOff>23232</xdr:colOff>
      <xdr:row>162</xdr:row>
      <xdr:rowOff>88048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313629</xdr:colOff>
      <xdr:row>121</xdr:row>
      <xdr:rowOff>58078</xdr:rowOff>
    </xdr:from>
    <xdr:to>
      <xdr:col>32</xdr:col>
      <xdr:colOff>61564</xdr:colOff>
      <xdr:row>137</xdr:row>
      <xdr:rowOff>111278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11</xdr:col>
      <xdr:colOff>545945</xdr:colOff>
      <xdr:row>146</xdr:row>
      <xdr:rowOff>58079</xdr:rowOff>
    </xdr:from>
    <xdr:to>
      <xdr:col>13</xdr:col>
      <xdr:colOff>510468</xdr:colOff>
      <xdr:row>149</xdr:row>
      <xdr:rowOff>14669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05854" y="26449299"/>
          <a:ext cx="1172571" cy="51415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12</xdr:col>
      <xdr:colOff>475757</xdr:colOff>
      <xdr:row>149</xdr:row>
      <xdr:rowOff>65001</xdr:rowOff>
    </xdr:from>
    <xdr:to>
      <xdr:col>13</xdr:col>
      <xdr:colOff>520013</xdr:colOff>
      <xdr:row>152</xdr:row>
      <xdr:rowOff>146961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339690" y="27013781"/>
          <a:ext cx="648280" cy="639521"/>
        </a:xfrm>
        <a:prstGeom prst="rect">
          <a:avLst/>
        </a:prstGeom>
      </xdr:spPr>
    </xdr:pic>
    <xdr:clientData/>
  </xdr:twoCellAnchor>
  <xdr:twoCellAnchor editAs="oneCell">
    <xdr:from>
      <xdr:col>12</xdr:col>
      <xdr:colOff>34847</xdr:colOff>
      <xdr:row>84</xdr:row>
      <xdr:rowOff>104543</xdr:rowOff>
    </xdr:from>
    <xdr:to>
      <xdr:col>13</xdr:col>
      <xdr:colOff>603394</xdr:colOff>
      <xdr:row>87</xdr:row>
      <xdr:rowOff>61132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98780" y="15716250"/>
          <a:ext cx="1172571" cy="51415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12</xdr:col>
      <xdr:colOff>568683</xdr:colOff>
      <xdr:row>87</xdr:row>
      <xdr:rowOff>111464</xdr:rowOff>
    </xdr:from>
    <xdr:to>
      <xdr:col>14</xdr:col>
      <xdr:colOff>8914</xdr:colOff>
      <xdr:row>91</xdr:row>
      <xdr:rowOff>7570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432616" y="16280732"/>
          <a:ext cx="648280" cy="639521"/>
        </a:xfrm>
        <a:prstGeom prst="rect">
          <a:avLst/>
        </a:prstGeom>
      </xdr:spPr>
    </xdr:pic>
    <xdr:clientData/>
  </xdr:twoCellAnchor>
  <xdr:twoCellAnchor editAs="oneCell">
    <xdr:from>
      <xdr:col>28</xdr:col>
      <xdr:colOff>441401</xdr:colOff>
      <xdr:row>84</xdr:row>
      <xdr:rowOff>151007</xdr:rowOff>
    </xdr:from>
    <xdr:to>
      <xdr:col>30</xdr:col>
      <xdr:colOff>405923</xdr:colOff>
      <xdr:row>87</xdr:row>
      <xdr:rowOff>107596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526249" y="15762714"/>
          <a:ext cx="1172571" cy="51415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29</xdr:col>
      <xdr:colOff>371213</xdr:colOff>
      <xdr:row>87</xdr:row>
      <xdr:rowOff>157928</xdr:rowOff>
    </xdr:from>
    <xdr:to>
      <xdr:col>30</xdr:col>
      <xdr:colOff>415469</xdr:colOff>
      <xdr:row>91</xdr:row>
      <xdr:rowOff>54034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060085" y="16327196"/>
          <a:ext cx="648280" cy="639521"/>
        </a:xfrm>
        <a:prstGeom prst="rect">
          <a:avLst/>
        </a:prstGeom>
      </xdr:spPr>
    </xdr:pic>
    <xdr:clientData/>
  </xdr:twoCellAnchor>
  <xdr:twoCellAnchor editAs="oneCell">
    <xdr:from>
      <xdr:col>30</xdr:col>
      <xdr:colOff>151007</xdr:colOff>
      <xdr:row>121</xdr:row>
      <xdr:rowOff>139390</xdr:rowOff>
    </xdr:from>
    <xdr:to>
      <xdr:col>31</xdr:col>
      <xdr:colOff>510468</xdr:colOff>
      <xdr:row>124</xdr:row>
      <xdr:rowOff>95979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443903" y="21884268"/>
          <a:ext cx="1172571" cy="51415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28</xdr:col>
      <xdr:colOff>580300</xdr:colOff>
      <xdr:row>121</xdr:row>
      <xdr:rowOff>76616</xdr:rowOff>
    </xdr:from>
    <xdr:to>
      <xdr:col>30</xdr:col>
      <xdr:colOff>20531</xdr:colOff>
      <xdr:row>124</xdr:row>
      <xdr:rowOff>158576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967160" y="21821494"/>
          <a:ext cx="648280" cy="639521"/>
        </a:xfrm>
        <a:prstGeom prst="rect">
          <a:avLst/>
        </a:prstGeom>
      </xdr:spPr>
    </xdr:pic>
    <xdr:clientData/>
  </xdr:twoCellAnchor>
  <xdr:twoCellAnchor editAs="oneCell">
    <xdr:from>
      <xdr:col>30</xdr:col>
      <xdr:colOff>104543</xdr:colOff>
      <xdr:row>146</xdr:row>
      <xdr:rowOff>127774</xdr:rowOff>
    </xdr:from>
    <xdr:to>
      <xdr:col>31</xdr:col>
      <xdr:colOff>464004</xdr:colOff>
      <xdr:row>149</xdr:row>
      <xdr:rowOff>84364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397439" y="26518994"/>
          <a:ext cx="1172571" cy="51415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30</xdr:col>
      <xdr:colOff>638379</xdr:colOff>
      <xdr:row>149</xdr:row>
      <xdr:rowOff>134696</xdr:rowOff>
    </xdr:from>
    <xdr:to>
      <xdr:col>31</xdr:col>
      <xdr:colOff>473549</xdr:colOff>
      <xdr:row>153</xdr:row>
      <xdr:rowOff>30802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931275" y="27083476"/>
          <a:ext cx="648280" cy="639521"/>
        </a:xfrm>
        <a:prstGeom prst="rect">
          <a:avLst/>
        </a:prstGeom>
      </xdr:spPr>
    </xdr:pic>
    <xdr:clientData/>
  </xdr:twoCellAnchor>
  <xdr:twoCellAnchor editAs="oneCell">
    <xdr:from>
      <xdr:col>12</xdr:col>
      <xdr:colOff>464634</xdr:colOff>
      <xdr:row>122</xdr:row>
      <xdr:rowOff>46462</xdr:rowOff>
    </xdr:from>
    <xdr:to>
      <xdr:col>14</xdr:col>
      <xdr:colOff>429156</xdr:colOff>
      <xdr:row>125</xdr:row>
      <xdr:rowOff>3051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328567" y="21977194"/>
          <a:ext cx="1172571" cy="51415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13</xdr:col>
      <xdr:colOff>394446</xdr:colOff>
      <xdr:row>125</xdr:row>
      <xdr:rowOff>53383</xdr:rowOff>
    </xdr:from>
    <xdr:to>
      <xdr:col>14</xdr:col>
      <xdr:colOff>438701</xdr:colOff>
      <xdr:row>128</xdr:row>
      <xdr:rowOff>135343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862403" y="22541676"/>
          <a:ext cx="648280" cy="639521"/>
        </a:xfrm>
        <a:prstGeom prst="rect">
          <a:avLst/>
        </a:prstGeom>
      </xdr:spPr>
    </xdr:pic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0.87542</cdr:x>
      <cdr:y>0.01919</cdr:y>
    </cdr:from>
    <cdr:to>
      <cdr:x>0.99189</cdr:x>
      <cdr:y>0.15663</cdr:y>
    </cdr:to>
    <cdr:pic>
      <cdr:nvPicPr>
        <cdr:cNvPr id="2" name="Imagem 1">
          <a:extLst xmlns:a="http://schemas.openxmlformats.org/drawingml/2006/main">
            <a:ext uri="{FF2B5EF4-FFF2-40B4-BE49-F238E27FC236}">
              <a16:creationId xmlns:a16="http://schemas.microsoft.com/office/drawing/2014/main" id="{7FB8D955-6426-1BA6-16D5-BEF4F60A21F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798472" y="72697"/>
          <a:ext cx="1170574" cy="520700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0.92845</cdr:x>
      <cdr:y>0.17008</cdr:y>
    </cdr:from>
    <cdr:to>
      <cdr:x>0.99284</cdr:x>
      <cdr:y>0.34104</cdr:y>
    </cdr:to>
    <cdr:pic>
      <cdr:nvPicPr>
        <cdr:cNvPr id="3" name="Imagem 2">
          <a:extLst xmlns:a="http://schemas.openxmlformats.org/drawingml/2006/main">
            <a:ext uri="{FF2B5EF4-FFF2-40B4-BE49-F238E27FC236}">
              <a16:creationId xmlns:a16="http://schemas.microsoft.com/office/drawing/2014/main" id="{C56EF2B2-4BA8-57F5-9542-481C1B8B7B5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9331372" y="644355"/>
          <a:ext cx="647198" cy="647699"/>
        </a:xfrm>
        <a:prstGeom xmlns:a="http://schemas.openxmlformats.org/drawingml/2006/main" prst="rect">
          <a:avLst/>
        </a:prstGeom>
      </cdr:spPr>
    </cdr:pic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0.86043</cdr:x>
      <cdr:y>0.01796</cdr:y>
    </cdr:from>
    <cdr:to>
      <cdr:x>0.9923</cdr:x>
      <cdr:y>0.14657</cdr:y>
    </cdr:to>
    <cdr:pic>
      <cdr:nvPicPr>
        <cdr:cNvPr id="4" name="Imagem 3">
          <a:extLst xmlns:a="http://schemas.openxmlformats.org/drawingml/2006/main">
            <a:ext uri="{FF2B5EF4-FFF2-40B4-BE49-F238E27FC236}">
              <a16:creationId xmlns:a16="http://schemas.microsoft.com/office/drawing/2014/main" id="{7FB8D955-6426-1BA6-16D5-BEF4F60A21F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637955" y="72697"/>
          <a:ext cx="1170574" cy="520700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0.92047</cdr:x>
      <cdr:y>0.15916</cdr:y>
    </cdr:from>
    <cdr:to>
      <cdr:x>0.99337</cdr:x>
      <cdr:y>0.31915</cdr:y>
    </cdr:to>
    <cdr:pic>
      <cdr:nvPicPr>
        <cdr:cNvPr id="5" name="Imagem 4">
          <a:extLst xmlns:a="http://schemas.openxmlformats.org/drawingml/2006/main">
            <a:ext uri="{FF2B5EF4-FFF2-40B4-BE49-F238E27FC236}">
              <a16:creationId xmlns:a16="http://schemas.microsoft.com/office/drawing/2014/main" id="{C56EF2B2-4BA8-57F5-9542-481C1B8B7B5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8170855" y="644355"/>
          <a:ext cx="647198" cy="647699"/>
        </a:xfrm>
        <a:prstGeom xmlns:a="http://schemas.openxmlformats.org/drawingml/2006/main" prst="rect">
          <a:avLst/>
        </a:prstGeom>
      </cdr:spPr>
    </cdr:pic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0.86875</cdr:x>
      <cdr:y>0.02466</cdr:y>
    </cdr:from>
    <cdr:to>
      <cdr:x>0.99167</cdr:x>
      <cdr:y>0.17819</cdr:y>
    </cdr:to>
    <cdr:pic>
      <cdr:nvPicPr>
        <cdr:cNvPr id="2" name="Imagem 1">
          <a:extLst xmlns:a="http://schemas.openxmlformats.org/drawingml/2006/main">
            <a:ext uri="{FF2B5EF4-FFF2-40B4-BE49-F238E27FC236}">
              <a16:creationId xmlns:a16="http://schemas.microsoft.com/office/drawing/2014/main" id="{7FB8D955-6426-1BA6-16D5-BEF4F60A21F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272955" y="83645"/>
          <a:ext cx="1170574" cy="520700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0.92471</cdr:x>
      <cdr:y>0.19322</cdr:y>
    </cdr:from>
    <cdr:to>
      <cdr:x>0.99267</cdr:x>
      <cdr:y>0.38419</cdr:y>
    </cdr:to>
    <cdr:pic>
      <cdr:nvPicPr>
        <cdr:cNvPr id="3" name="Imagem 2">
          <a:extLst xmlns:a="http://schemas.openxmlformats.org/drawingml/2006/main">
            <a:ext uri="{FF2B5EF4-FFF2-40B4-BE49-F238E27FC236}">
              <a16:creationId xmlns:a16="http://schemas.microsoft.com/office/drawing/2014/main" id="{C56EF2B2-4BA8-57F5-9542-481C1B8B7B5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8805855" y="655303"/>
          <a:ext cx="647198" cy="647699"/>
        </a:xfrm>
        <a:prstGeom xmlns:a="http://schemas.openxmlformats.org/drawingml/2006/main" prst="rect">
          <a:avLst/>
        </a:prstGeom>
      </cdr:spPr>
    </cdr:pic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520552</xdr:colOff>
      <xdr:row>0</xdr:row>
      <xdr:rowOff>76200</xdr:rowOff>
    </xdr:from>
    <xdr:to>
      <xdr:col>16</xdr:col>
      <xdr:colOff>38100</xdr:colOff>
      <xdr:row>20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600075</xdr:colOff>
      <xdr:row>0</xdr:row>
      <xdr:rowOff>180975</xdr:rowOff>
    </xdr:from>
    <xdr:to>
      <xdr:col>15</xdr:col>
      <xdr:colOff>418058</xdr:colOff>
      <xdr:row>7</xdr:row>
      <xdr:rowOff>66781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01025" y="180975"/>
          <a:ext cx="1170533" cy="1219306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0</xdr:col>
      <xdr:colOff>209549</xdr:colOff>
      <xdr:row>31</xdr:row>
      <xdr:rowOff>0</xdr:rowOff>
    </xdr:from>
    <xdr:to>
      <xdr:col>16</xdr:col>
      <xdr:colOff>22151</xdr:colOff>
      <xdr:row>54</xdr:row>
      <xdr:rowOff>143982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553777</xdr:colOff>
      <xdr:row>31</xdr:row>
      <xdr:rowOff>11075</xdr:rowOff>
    </xdr:from>
    <xdr:to>
      <xdr:col>34</xdr:col>
      <xdr:colOff>210435</xdr:colOff>
      <xdr:row>54</xdr:row>
      <xdr:rowOff>110756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37</xdr:col>
      <xdr:colOff>372137</xdr:colOff>
      <xdr:row>31</xdr:row>
      <xdr:rowOff>22151</xdr:rowOff>
    </xdr:from>
    <xdr:to>
      <xdr:col>52</xdr:col>
      <xdr:colOff>553779</xdr:colOff>
      <xdr:row>54</xdr:row>
      <xdr:rowOff>59143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155058</xdr:colOff>
      <xdr:row>67</xdr:row>
      <xdr:rowOff>11076</xdr:rowOff>
    </xdr:from>
    <xdr:to>
      <xdr:col>15</xdr:col>
      <xdr:colOff>587004</xdr:colOff>
      <xdr:row>89</xdr:row>
      <xdr:rowOff>92370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505045</xdr:colOff>
      <xdr:row>67</xdr:row>
      <xdr:rowOff>0</xdr:rowOff>
    </xdr:from>
    <xdr:to>
      <xdr:col>34</xdr:col>
      <xdr:colOff>143982</xdr:colOff>
      <xdr:row>89</xdr:row>
      <xdr:rowOff>92369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560424</xdr:colOff>
      <xdr:row>97</xdr:row>
      <xdr:rowOff>166134</xdr:rowOff>
    </xdr:from>
    <xdr:to>
      <xdr:col>15</xdr:col>
      <xdr:colOff>287965</xdr:colOff>
      <xdr:row>117</xdr:row>
      <xdr:rowOff>180974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653460</xdr:colOff>
      <xdr:row>103</xdr:row>
      <xdr:rowOff>55377</xdr:rowOff>
    </xdr:from>
    <xdr:to>
      <xdr:col>13</xdr:col>
      <xdr:colOff>332268</xdr:colOff>
      <xdr:row>108</xdr:row>
      <xdr:rowOff>177208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6966541" y="19481947"/>
          <a:ext cx="2381250" cy="1063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TX Reclamação</a:t>
          </a:r>
          <a:r>
            <a:rPr lang="pt-BR" sz="1100" baseline="0"/>
            <a:t> = Dev por Cliente/Nº de Clientes ativos</a:t>
          </a:r>
        </a:p>
        <a:p>
          <a:endParaRPr lang="pt-BR" sz="1100" baseline="0"/>
        </a:p>
        <a:p>
          <a:r>
            <a:rPr lang="pt-BR" sz="1100" baseline="0"/>
            <a:t>Reclamação Procedencia = total de procedencia/total de devolução</a:t>
          </a:r>
          <a:endParaRPr lang="pt-BR" sz="1100"/>
        </a:p>
      </xdr:txBody>
    </xdr:sp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0.87474</cdr:x>
      <cdr:y>0.01878</cdr:y>
    </cdr:from>
    <cdr:to>
      <cdr:x>0.99139</cdr:x>
      <cdr:y>0.13515</cdr:y>
    </cdr:to>
    <cdr:pic>
      <cdr:nvPicPr>
        <cdr:cNvPr id="2" name="Imagem 1">
          <a:extLst xmlns:a="http://schemas.openxmlformats.org/drawingml/2006/main">
            <a:ext uri="{FF2B5EF4-FFF2-40B4-BE49-F238E27FC236}">
              <a16:creationId xmlns:a16="http://schemas.microsoft.com/office/drawing/2014/main" id="{7FB8D955-6426-1BA6-16D5-BEF4F60A21F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778358" y="84026"/>
          <a:ext cx="1170574" cy="520700"/>
        </a:xfrm>
        <a:prstGeom xmlns:a="http://schemas.openxmlformats.org/drawingml/2006/main" prst="ellipse">
          <a:avLst/>
        </a:prstGeom>
        <a:ln xmlns:a="http://schemas.openxmlformats.org/drawingml/2006/main">
          <a:noFill/>
        </a:ln>
        <a:effectLst xmlns:a="http://schemas.openxmlformats.org/drawingml/2006/main">
          <a:softEdge rad="112500"/>
        </a:effectLst>
      </cdr:spPr>
    </cdr:pic>
  </cdr:relSizeAnchor>
  <cdr:relSizeAnchor xmlns:cdr="http://schemas.openxmlformats.org/drawingml/2006/chartDrawing">
    <cdr:from>
      <cdr:x>0.92784</cdr:x>
      <cdr:y>0.14654</cdr:y>
    </cdr:from>
    <cdr:to>
      <cdr:x>0.99234</cdr:x>
      <cdr:y>0.29129</cdr:y>
    </cdr:to>
    <cdr:pic>
      <cdr:nvPicPr>
        <cdr:cNvPr id="3" name="Imagem 2">
          <a:extLst xmlns:a="http://schemas.openxmlformats.org/drawingml/2006/main">
            <a:ext uri="{FF2B5EF4-FFF2-40B4-BE49-F238E27FC236}">
              <a16:creationId xmlns:a16="http://schemas.microsoft.com/office/drawing/2014/main" id="{C56EF2B2-4BA8-57F5-9542-481C1B8B7B5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9311258" y="655684"/>
          <a:ext cx="647198" cy="647699"/>
        </a:xfrm>
        <a:prstGeom xmlns:a="http://schemas.openxmlformats.org/drawingml/2006/main" prst="rect">
          <a:avLst/>
        </a:prstGeom>
      </cdr:spPr>
    </cdr:pic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0.86759</cdr:x>
      <cdr:y>0.01897</cdr:y>
    </cdr:from>
    <cdr:to>
      <cdr:x>0.99208</cdr:x>
      <cdr:y>0.1365</cdr:y>
    </cdr:to>
    <cdr:pic>
      <cdr:nvPicPr>
        <cdr:cNvPr id="2" name="Imagem 1">
          <a:extLst xmlns:a="http://schemas.openxmlformats.org/drawingml/2006/main">
            <a:ext uri="{FF2B5EF4-FFF2-40B4-BE49-F238E27FC236}">
              <a16:creationId xmlns:a16="http://schemas.microsoft.com/office/drawing/2014/main" id="{7FB8D955-6426-1BA6-16D5-BEF4F60A21F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158126" y="84027"/>
          <a:ext cx="1170574" cy="520700"/>
        </a:xfrm>
        <a:prstGeom xmlns:a="http://schemas.openxmlformats.org/drawingml/2006/main" prst="ellipse">
          <a:avLst/>
        </a:prstGeom>
        <a:ln xmlns:a="http://schemas.openxmlformats.org/drawingml/2006/main">
          <a:noFill/>
        </a:ln>
        <a:effectLst xmlns:a="http://schemas.openxmlformats.org/drawingml/2006/main">
          <a:softEdge rad="112500"/>
        </a:effectLst>
      </cdr:spPr>
    </cdr:pic>
  </cdr:relSizeAnchor>
  <cdr:relSizeAnchor xmlns:cdr="http://schemas.openxmlformats.org/drawingml/2006/chartDrawing">
    <cdr:from>
      <cdr:x>0.92427</cdr:x>
      <cdr:y>0.148</cdr:y>
    </cdr:from>
    <cdr:to>
      <cdr:x>0.99309</cdr:x>
      <cdr:y>0.2942</cdr:y>
    </cdr:to>
    <cdr:pic>
      <cdr:nvPicPr>
        <cdr:cNvPr id="3" name="Imagem 2">
          <a:extLst xmlns:a="http://schemas.openxmlformats.org/drawingml/2006/main">
            <a:ext uri="{FF2B5EF4-FFF2-40B4-BE49-F238E27FC236}">
              <a16:creationId xmlns:a16="http://schemas.microsoft.com/office/drawing/2014/main" id="{C56EF2B2-4BA8-57F5-9542-481C1B8B7B5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8691026" y="655685"/>
          <a:ext cx="647198" cy="647699"/>
        </a:xfrm>
        <a:prstGeom xmlns:a="http://schemas.openxmlformats.org/drawingml/2006/main" prst="ellipse">
          <a:avLst/>
        </a:prstGeom>
        <a:ln xmlns:a="http://schemas.openxmlformats.org/drawingml/2006/main">
          <a:noFill/>
        </a:ln>
        <a:effectLst xmlns:a="http://schemas.openxmlformats.org/drawingml/2006/main">
          <a:softEdge rad="112500"/>
        </a:effectLst>
      </cdr:spPr>
    </cdr:pic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0.85637</cdr:x>
      <cdr:y>0.01417</cdr:y>
    </cdr:from>
    <cdr:to>
      <cdr:x>0.98975</cdr:x>
      <cdr:y>0.13339</cdr:y>
    </cdr:to>
    <cdr:pic>
      <cdr:nvPicPr>
        <cdr:cNvPr id="2" name="Imagem 1">
          <a:extLst xmlns:a="http://schemas.openxmlformats.org/drawingml/2006/main">
            <a:ext uri="{FF2B5EF4-FFF2-40B4-BE49-F238E27FC236}">
              <a16:creationId xmlns:a16="http://schemas.microsoft.com/office/drawing/2014/main" id="{7FB8D955-6426-1BA6-16D5-BEF4F60A21F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515742" y="61875"/>
          <a:ext cx="1170574" cy="520700"/>
        </a:xfrm>
        <a:prstGeom xmlns:a="http://schemas.openxmlformats.org/drawingml/2006/main" prst="ellipse">
          <a:avLst/>
        </a:prstGeom>
        <a:ln xmlns:a="http://schemas.openxmlformats.org/drawingml/2006/main">
          <a:noFill/>
        </a:ln>
        <a:effectLst xmlns:a="http://schemas.openxmlformats.org/drawingml/2006/main">
          <a:softEdge rad="112500"/>
        </a:effectLst>
      </cdr:spPr>
    </cdr:pic>
  </cdr:relSizeAnchor>
  <cdr:relSizeAnchor xmlns:cdr="http://schemas.openxmlformats.org/drawingml/2006/chartDrawing">
    <cdr:from>
      <cdr:x>0.91709</cdr:x>
      <cdr:y>0.14505</cdr:y>
    </cdr:from>
    <cdr:to>
      <cdr:x>0.99083</cdr:x>
      <cdr:y>0.29335</cdr:y>
    </cdr:to>
    <cdr:pic>
      <cdr:nvPicPr>
        <cdr:cNvPr id="3" name="Imagem 2">
          <a:extLst xmlns:a="http://schemas.openxmlformats.org/drawingml/2006/main">
            <a:ext uri="{FF2B5EF4-FFF2-40B4-BE49-F238E27FC236}">
              <a16:creationId xmlns:a16="http://schemas.microsoft.com/office/drawing/2014/main" id="{C56EF2B2-4BA8-57F5-9542-481C1B8B7B5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8048642" y="633533"/>
          <a:ext cx="647198" cy="647699"/>
        </a:xfrm>
        <a:prstGeom xmlns:a="http://schemas.openxmlformats.org/drawingml/2006/main" prst="ellipse">
          <a:avLst/>
        </a:prstGeom>
        <a:ln xmlns:a="http://schemas.openxmlformats.org/drawingml/2006/main">
          <a:noFill/>
        </a:ln>
        <a:effectLst xmlns:a="http://schemas.openxmlformats.org/drawingml/2006/main">
          <a:softEdge rad="112500"/>
        </a:effectLst>
      </cdr:spPr>
    </cdr:pic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0.87606</cdr:x>
      <cdr:y>0.02252</cdr:y>
    </cdr:from>
    <cdr:to>
      <cdr:x>0.99259</cdr:x>
      <cdr:y>0.1458</cdr:y>
    </cdr:to>
    <cdr:pic>
      <cdr:nvPicPr>
        <cdr:cNvPr id="2" name="Imagem 1">
          <a:extLst xmlns:a="http://schemas.openxmlformats.org/drawingml/2006/main">
            <a:ext uri="{FF2B5EF4-FFF2-40B4-BE49-F238E27FC236}">
              <a16:creationId xmlns:a16="http://schemas.microsoft.com/office/drawing/2014/main" id="{7FB8D955-6426-1BA6-16D5-BEF4F60A21F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800509" y="95102"/>
          <a:ext cx="1170574" cy="520700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0.92911</cdr:x>
      <cdr:y>0.15787</cdr:y>
    </cdr:from>
    <cdr:to>
      <cdr:x>0.99354</cdr:x>
      <cdr:y>0.31122</cdr:y>
    </cdr:to>
    <cdr:pic>
      <cdr:nvPicPr>
        <cdr:cNvPr id="3" name="Imagem 2">
          <a:extLst xmlns:a="http://schemas.openxmlformats.org/drawingml/2006/main">
            <a:ext uri="{FF2B5EF4-FFF2-40B4-BE49-F238E27FC236}">
              <a16:creationId xmlns:a16="http://schemas.microsoft.com/office/drawing/2014/main" id="{C56EF2B2-4BA8-57F5-9542-481C1B8B7B5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9333409" y="666760"/>
          <a:ext cx="647198" cy="647699"/>
        </a:xfrm>
        <a:prstGeom xmlns:a="http://schemas.openxmlformats.org/drawingml/2006/main" prst="rect">
          <a:avLst/>
        </a:prstGeom>
      </cdr:spPr>
    </cdr:pic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0.85763</cdr:x>
      <cdr:y>0.01984</cdr:y>
    </cdr:from>
    <cdr:to>
      <cdr:x>0.99101</cdr:x>
      <cdr:y>0.1428</cdr:y>
    </cdr:to>
    <cdr:pic>
      <cdr:nvPicPr>
        <cdr:cNvPr id="2" name="Imagem 1">
          <a:extLst xmlns:a="http://schemas.openxmlformats.org/drawingml/2006/main">
            <a:ext uri="{FF2B5EF4-FFF2-40B4-BE49-F238E27FC236}">
              <a16:creationId xmlns:a16="http://schemas.microsoft.com/office/drawing/2014/main" id="{7FB8D955-6426-1BA6-16D5-BEF4F60A21F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526818" y="84027"/>
          <a:ext cx="1170574" cy="520700"/>
        </a:xfrm>
        <a:prstGeom xmlns:a="http://schemas.openxmlformats.org/drawingml/2006/main" prst="ellipse">
          <a:avLst/>
        </a:prstGeom>
        <a:ln xmlns:a="http://schemas.openxmlformats.org/drawingml/2006/main">
          <a:noFill/>
        </a:ln>
        <a:effectLst xmlns:a="http://schemas.openxmlformats.org/drawingml/2006/main">
          <a:softEdge rad="112500"/>
        </a:effectLst>
      </cdr:spPr>
    </cdr:pic>
  </cdr:relSizeAnchor>
  <cdr:relSizeAnchor xmlns:cdr="http://schemas.openxmlformats.org/drawingml/2006/chartDrawing">
    <cdr:from>
      <cdr:x>0.91835</cdr:x>
      <cdr:y>0.15484</cdr:y>
    </cdr:from>
    <cdr:to>
      <cdr:x>0.9921</cdr:x>
      <cdr:y>0.30779</cdr:y>
    </cdr:to>
    <cdr:pic>
      <cdr:nvPicPr>
        <cdr:cNvPr id="3" name="Imagem 2">
          <a:extLst xmlns:a="http://schemas.openxmlformats.org/drawingml/2006/main">
            <a:ext uri="{FF2B5EF4-FFF2-40B4-BE49-F238E27FC236}">
              <a16:creationId xmlns:a16="http://schemas.microsoft.com/office/drawing/2014/main" id="{C56EF2B2-4BA8-57F5-9542-481C1B8B7B5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8059718" y="655685"/>
          <a:ext cx="647198" cy="647699"/>
        </a:xfrm>
        <a:prstGeom xmlns:a="http://schemas.openxmlformats.org/drawingml/2006/main" prst="ellipse">
          <a:avLst/>
        </a:prstGeom>
        <a:ln xmlns:a="http://schemas.openxmlformats.org/drawingml/2006/main">
          <a:noFill/>
        </a:ln>
        <a:effectLst xmlns:a="http://schemas.openxmlformats.org/drawingml/2006/main">
          <a:softEdge rad="112500"/>
        </a:effectLst>
      </cdr:spPr>
    </cdr:pic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0.86415</cdr:x>
      <cdr:y>0.01637</cdr:y>
    </cdr:from>
    <cdr:to>
      <cdr:x>0.98881</cdr:x>
      <cdr:y>0.15445</cdr:y>
    </cdr:to>
    <cdr:pic>
      <cdr:nvPicPr>
        <cdr:cNvPr id="2" name="Imagem 1">
          <a:extLst xmlns:a="http://schemas.openxmlformats.org/drawingml/2006/main">
            <a:ext uri="{FF2B5EF4-FFF2-40B4-BE49-F238E27FC236}">
              <a16:creationId xmlns:a16="http://schemas.microsoft.com/office/drawing/2014/main" id="{0AC73530-0678-BD97-C869-30403B4F02A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722980" y="61875"/>
          <a:ext cx="1258372" cy="52204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0.9209</cdr:x>
      <cdr:y>0.16797</cdr:y>
    </cdr:from>
    <cdr:to>
      <cdr:x>0.98983</cdr:x>
      <cdr:y>0.33974</cdr:y>
    </cdr:to>
    <cdr:pic>
      <cdr:nvPicPr>
        <cdr:cNvPr id="3" name="Imagem 2">
          <a:extLst xmlns:a="http://schemas.openxmlformats.org/drawingml/2006/main">
            <a:ext uri="{FF2B5EF4-FFF2-40B4-BE49-F238E27FC236}">
              <a16:creationId xmlns:a16="http://schemas.microsoft.com/office/drawing/2014/main" id="{BC2613BE-ABC9-78E4-DACE-A46AA4D3FA2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9295851" y="635033"/>
          <a:ext cx="695759" cy="649382"/>
        </a:xfrm>
        <a:prstGeom xmlns:a="http://schemas.openxmlformats.org/drawingml/2006/main" prst="rect">
          <a:avLst/>
        </a:prstGeom>
      </cdr:spPr>
    </cdr:pic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542924</xdr:colOff>
      <xdr:row>0</xdr:row>
      <xdr:rowOff>76200</xdr:rowOff>
    </xdr:from>
    <xdr:to>
      <xdr:col>15</xdr:col>
      <xdr:colOff>38100</xdr:colOff>
      <xdr:row>20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438149</xdr:colOff>
      <xdr:row>0</xdr:row>
      <xdr:rowOff>57150</xdr:rowOff>
    </xdr:from>
    <xdr:to>
      <xdr:col>32</xdr:col>
      <xdr:colOff>47624</xdr:colOff>
      <xdr:row>19</xdr:row>
      <xdr:rowOff>128587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133350</xdr:colOff>
      <xdr:row>0</xdr:row>
      <xdr:rowOff>57150</xdr:rowOff>
    </xdr:from>
    <xdr:to>
      <xdr:col>50</xdr:col>
      <xdr:colOff>104776</xdr:colOff>
      <xdr:row>19</xdr:row>
      <xdr:rowOff>90487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590550</xdr:colOff>
      <xdr:row>0</xdr:row>
      <xdr:rowOff>180975</xdr:rowOff>
    </xdr:from>
    <xdr:to>
      <xdr:col>14</xdr:col>
      <xdr:colOff>408533</xdr:colOff>
      <xdr:row>7</xdr:row>
      <xdr:rowOff>66781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91500" y="180975"/>
          <a:ext cx="1170533" cy="1219306"/>
        </a:xfrm>
        <a:prstGeom prst="rect">
          <a:avLst/>
        </a:prstGeom>
      </xdr:spPr>
    </xdr:pic>
    <xdr:clientData/>
  </xdr:twoCellAnchor>
  <xdr:twoCellAnchor editAs="oneCell">
    <xdr:from>
      <xdr:col>29</xdr:col>
      <xdr:colOff>590550</xdr:colOff>
      <xdr:row>0</xdr:row>
      <xdr:rowOff>171450</xdr:rowOff>
    </xdr:from>
    <xdr:to>
      <xdr:col>31</xdr:col>
      <xdr:colOff>541884</xdr:colOff>
      <xdr:row>7</xdr:row>
      <xdr:rowOff>57256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40450" y="171450"/>
          <a:ext cx="1170533" cy="1219306"/>
        </a:xfrm>
        <a:prstGeom prst="rect">
          <a:avLst/>
        </a:prstGeom>
      </xdr:spPr>
    </xdr:pic>
    <xdr:clientData/>
  </xdr:twoCellAnchor>
  <xdr:twoCellAnchor editAs="oneCell">
    <xdr:from>
      <xdr:col>48</xdr:col>
      <xdr:colOff>47625</xdr:colOff>
      <xdr:row>0</xdr:row>
      <xdr:rowOff>180975</xdr:rowOff>
    </xdr:from>
    <xdr:to>
      <xdr:col>50</xdr:col>
      <xdr:colOff>1340</xdr:colOff>
      <xdr:row>7</xdr:row>
      <xdr:rowOff>66781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851350" y="180975"/>
          <a:ext cx="1170533" cy="121930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542924</xdr:colOff>
      <xdr:row>0</xdr:row>
      <xdr:rowOff>76200</xdr:rowOff>
    </xdr:from>
    <xdr:to>
      <xdr:col>15</xdr:col>
      <xdr:colOff>38100</xdr:colOff>
      <xdr:row>20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571500</xdr:colOff>
      <xdr:row>1</xdr:row>
      <xdr:rowOff>9525</xdr:rowOff>
    </xdr:from>
    <xdr:to>
      <xdr:col>14</xdr:col>
      <xdr:colOff>389483</xdr:colOff>
      <xdr:row>7</xdr:row>
      <xdr:rowOff>85831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72450" y="200025"/>
          <a:ext cx="1170533" cy="1219306"/>
        </a:xfrm>
        <a:prstGeom prst="rect">
          <a:avLst/>
        </a:prstGeom>
      </xdr:spPr>
    </xdr:pic>
    <xdr:clientData/>
  </xdr:twoCellAnchor>
  <xdr:twoCellAnchor>
    <xdr:from>
      <xdr:col>0</xdr:col>
      <xdr:colOff>514349</xdr:colOff>
      <xdr:row>33</xdr:row>
      <xdr:rowOff>28575</xdr:rowOff>
    </xdr:from>
    <xdr:to>
      <xdr:col>14</xdr:col>
      <xdr:colOff>47624</xdr:colOff>
      <xdr:row>50</xdr:row>
      <xdr:rowOff>138112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742950</xdr:colOff>
      <xdr:row>57</xdr:row>
      <xdr:rowOff>19050</xdr:rowOff>
    </xdr:from>
    <xdr:to>
      <xdr:col>14</xdr:col>
      <xdr:colOff>152400</xdr:colOff>
      <xdr:row>77</xdr:row>
      <xdr:rowOff>176212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0.86611</cdr:x>
      <cdr:y>0.02371</cdr:y>
    </cdr:from>
    <cdr:to>
      <cdr:x>0.99399</cdr:x>
      <cdr:y>0.38789</cdr:y>
    </cdr:to>
    <cdr:pic>
      <cdr:nvPicPr>
        <cdr:cNvPr id="2" name="Imagem 1">
          <a:extLst xmlns:a="http://schemas.openxmlformats.org/drawingml/2006/main">
            <a:ext uri="{FF2B5EF4-FFF2-40B4-BE49-F238E27FC236}">
              <a16:creationId xmlns:a16="http://schemas.microsoft.com/office/drawing/2014/main" id="{1633744C-A39D-784B-40E1-FFABFC9F358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27975" y="79375"/>
          <a:ext cx="1170533" cy="1219306"/>
        </a:xfrm>
        <a:prstGeom xmlns:a="http://schemas.openxmlformats.org/drawingml/2006/main" prst="rect">
          <a:avLst/>
        </a:prstGeom>
      </cdr:spPr>
    </cdr:pic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104774</xdr:colOff>
      <xdr:row>1</xdr:row>
      <xdr:rowOff>9525</xdr:rowOff>
    </xdr:from>
    <xdr:to>
      <xdr:col>15</xdr:col>
      <xdr:colOff>142874</xdr:colOff>
      <xdr:row>21</xdr:row>
      <xdr:rowOff>109537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209550</xdr:colOff>
      <xdr:row>1</xdr:row>
      <xdr:rowOff>57150</xdr:rowOff>
    </xdr:from>
    <xdr:to>
      <xdr:col>15</xdr:col>
      <xdr:colOff>33150</xdr:colOff>
      <xdr:row>7</xdr:row>
      <xdr:rowOff>133456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53525" y="247650"/>
          <a:ext cx="1170533" cy="1219306"/>
        </a:xfrm>
        <a:prstGeom prst="rect">
          <a:avLst/>
        </a:prstGeom>
      </xdr:spPr>
    </xdr:pic>
    <xdr:clientData/>
  </xdr:twoCellAnchor>
  <xdr:twoCellAnchor>
    <xdr:from>
      <xdr:col>17</xdr:col>
      <xdr:colOff>66675</xdr:colOff>
      <xdr:row>1</xdr:row>
      <xdr:rowOff>24423</xdr:rowOff>
    </xdr:from>
    <xdr:to>
      <xdr:col>31</xdr:col>
      <xdr:colOff>329711</xdr:colOff>
      <xdr:row>21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0.85531</cdr:x>
      <cdr:y>0.02129</cdr:y>
    </cdr:from>
    <cdr:to>
      <cdr:x>0.99036</cdr:x>
      <cdr:y>0.34826</cdr:y>
    </cdr:to>
    <cdr:pic>
      <cdr:nvPicPr>
        <cdr:cNvPr id="2" name="Imagem 1">
          <a:extLst xmlns:a="http://schemas.openxmlformats.org/drawingml/2006/main">
            <a:ext uri="{FF2B5EF4-FFF2-40B4-BE49-F238E27FC236}">
              <a16:creationId xmlns:a16="http://schemas.microsoft.com/office/drawing/2014/main" id="{22CC1475-3850-4F9E-9DE3-ED455051135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413625" y="79375"/>
          <a:ext cx="1170533" cy="1219306"/>
        </a:xfrm>
        <a:prstGeom xmlns:a="http://schemas.openxmlformats.org/drawingml/2006/main" prst="rect">
          <a:avLst/>
        </a:prstGeom>
      </cdr:spPr>
    </cdr:pic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333374</xdr:colOff>
      <xdr:row>0</xdr:row>
      <xdr:rowOff>152400</xdr:rowOff>
    </xdr:from>
    <xdr:to>
      <xdr:col>16</xdr:col>
      <xdr:colOff>104775</xdr:colOff>
      <xdr:row>20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600075</xdr:colOff>
      <xdr:row>0</xdr:row>
      <xdr:rowOff>171450</xdr:rowOff>
    </xdr:from>
    <xdr:to>
      <xdr:col>14</xdr:col>
      <xdr:colOff>418058</xdr:colOff>
      <xdr:row>7</xdr:row>
      <xdr:rowOff>57256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01025" y="171450"/>
          <a:ext cx="1170533" cy="1219306"/>
        </a:xfrm>
        <a:prstGeom prst="rect">
          <a:avLst/>
        </a:prstGeom>
      </xdr:spPr>
    </xdr:pic>
    <xdr:clientData/>
  </xdr:twoCellAnchor>
  <xdr:twoCellAnchor>
    <xdr:from>
      <xdr:col>0</xdr:col>
      <xdr:colOff>657225</xdr:colOff>
      <xdr:row>31</xdr:row>
      <xdr:rowOff>19050</xdr:rowOff>
    </xdr:from>
    <xdr:to>
      <xdr:col>15</xdr:col>
      <xdr:colOff>447675</xdr:colOff>
      <xdr:row>50</xdr:row>
      <xdr:rowOff>80962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209549</xdr:colOff>
      <xdr:row>31</xdr:row>
      <xdr:rowOff>28575</xdr:rowOff>
    </xdr:from>
    <xdr:to>
      <xdr:col>33</xdr:col>
      <xdr:colOff>523874</xdr:colOff>
      <xdr:row>50</xdr:row>
      <xdr:rowOff>109537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GQ/ESG/E-ENVIRONMETAL/E%20-%20Environmental_AMBIENTAL.xlsx" TargetMode="External"/><Relationship Id="rId2" Type="http://schemas.openxmlformats.org/officeDocument/2006/relationships/externalLinkPath" Target="https://evoluttionautomotive.sharepoint.com/sites/Fileserver/Documentos%20Compartilhados/SGQ/ESG/E-ENVIRONMETAL/E%20-%20Environmental_AMBIENTAL.xlsx" TargetMode="External"/><Relationship Id="rId1" Type="http://schemas.openxmlformats.org/officeDocument/2006/relationships/externalLinkPath" Target="/sites/Fileserver/Documentos%20Compartilhados/SGQ/ESG/E-ENVIRONMETAL/E%20-%20Environmental_AMBIENT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voluttionautomotive.sharepoint.com/sites/Fileserver/Documentos%20Compartilhados/INDICADORES/2026/Avalia&#231;&#227;o%20de%20Desempenho%202026.xlsx" TargetMode="External"/><Relationship Id="rId1" Type="http://schemas.openxmlformats.org/officeDocument/2006/relationships/externalLinkPath" Target="Avalia&#231;&#227;o%20de%20Desempenho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5/ETEC/TAB-04%20-%20Resultados%20Tecnologia%202025.xlsx" TargetMode="External"/><Relationship Id="rId2" Type="http://schemas.openxmlformats.org/officeDocument/2006/relationships/externalLinkPath" Target="https://evoluttionautomotive.sharepoint.com/sites/Fileserver/Documentos%20Compartilhados/INDICADORES/2025/ETEC/TAB-04%20-%20Resultados%20Tecnologia%202025.xlsx" TargetMode="External"/><Relationship Id="rId1" Type="http://schemas.openxmlformats.org/officeDocument/2006/relationships/externalLinkPath" Target="/sites/Fileserver/Documentos%20Compartilhados/INDICADORES/2025/ETEC/TAB-04%20-%20Resultados%20Tecnologia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voluttionautomotive.sharepoint.com/sites/Fileserver/Documentos%20Compartilhados/INDICADORES/2026/TAB-04%20-%20Resultados%20Tecnologia%202026.xlsx" TargetMode="External"/><Relationship Id="rId1" Type="http://schemas.openxmlformats.org/officeDocument/2006/relationships/externalLinkPath" Target="TAB-04%20-%20Resultados%20Tecnologia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ELETRICA"/>
      <sheetName val="AGUA"/>
      <sheetName val="RESÍDUOS"/>
    </sheetNames>
    <sheetDataSet>
      <sheetData sheetId="0">
        <row r="26">
          <cell r="B26"/>
          <cell r="C26" t="str">
            <v>Média 2025</v>
          </cell>
          <cell r="D26" t="str">
            <v>jan</v>
          </cell>
          <cell r="E26" t="str">
            <v>fev</v>
          </cell>
          <cell r="F26" t="str">
            <v>mar</v>
          </cell>
          <cell r="G26" t="str">
            <v>abr</v>
          </cell>
          <cell r="H26" t="str">
            <v>mai</v>
          </cell>
          <cell r="I26" t="str">
            <v>jun</v>
          </cell>
          <cell r="J26" t="str">
            <v>jul</v>
          </cell>
          <cell r="K26" t="str">
            <v>ago</v>
          </cell>
          <cell r="L26" t="str">
            <v>set</v>
          </cell>
          <cell r="M26" t="str">
            <v>out</v>
          </cell>
          <cell r="N26" t="str">
            <v>nov</v>
          </cell>
          <cell r="O26" t="str">
            <v>dez</v>
          </cell>
        </row>
      </sheetData>
      <sheetData sheetId="1">
        <row r="27">
          <cell r="B27"/>
        </row>
      </sheetData>
      <sheetData sheetId="2">
        <row r="27">
          <cell r="B27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"/>
      <sheetName val="Planilha1"/>
      <sheetName val="Reduções Custo"/>
      <sheetName val="Metas"/>
      <sheetName val="FABRICA"/>
      <sheetName val="QUALIDADE"/>
      <sheetName val="ENGENHARIA"/>
      <sheetName val="RH"/>
      <sheetName val="COMERCIAL"/>
      <sheetName val="COMPRAS"/>
      <sheetName val="MANUTENÇÃO"/>
      <sheetName val="Fechamento Geral"/>
    </sheetNames>
    <sheetDataSet>
      <sheetData sheetId="0">
        <row r="8">
          <cell r="C8">
            <v>1529281.38</v>
          </cell>
        </row>
        <row r="28">
          <cell r="C28">
            <v>750000</v>
          </cell>
        </row>
        <row r="52">
          <cell r="C52">
            <v>126415</v>
          </cell>
        </row>
        <row r="60">
          <cell r="C60">
            <v>250475</v>
          </cell>
        </row>
        <row r="100">
          <cell r="C100">
            <v>402391</v>
          </cell>
        </row>
        <row r="124">
          <cell r="C124">
            <v>406115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ela de Objetivos"/>
      <sheetName val="MENU"/>
      <sheetName val="OBJETIVOS"/>
      <sheetName val="BSC"/>
      <sheetName val="PPM Interno"/>
      <sheetName val="S.PPM Interno"/>
      <sheetName val="PA.PPM Interno"/>
      <sheetName val="Satisfação"/>
      <sheetName val="S.Satisfação"/>
      <sheetName val="PA.Satisfação (2)"/>
      <sheetName val="Produtividade PÇS"/>
      <sheetName val="Produtividade HS"/>
      <sheetName val="S.Produtividade"/>
      <sheetName val="PA.Produtividade"/>
      <sheetName val="Refugo"/>
      <sheetName val="S.Refugo"/>
      <sheetName val="PA.Refugo"/>
      <sheetName val="Aquisições"/>
      <sheetName val="S.Aquisições"/>
      <sheetName val="PA.Aquisições"/>
      <sheetName val="TurnoOver"/>
      <sheetName val="S.TO"/>
      <sheetName val="PA.TO"/>
      <sheetName val="Entrega Aut"/>
      <sheetName val=" Entrega SFA"/>
      <sheetName val="S.Entrega Aut"/>
      <sheetName val="S.Entrega SFA"/>
      <sheetName val="PA.Entrega Aut"/>
      <sheetName val="PA.Entrega SFA"/>
      <sheetName val="RG"/>
      <sheetName val="S.RG"/>
      <sheetName val="PA.RG"/>
      <sheetName val="Seg trab"/>
      <sheetName val="Advertencias ST"/>
      <sheetName val="S.ST"/>
      <sheetName val="PA.ST"/>
      <sheetName val="QualCliente"/>
      <sheetName val="Planilha3"/>
      <sheetName val="S.QC"/>
      <sheetName val="PA.QC"/>
      <sheetName val="RO"/>
      <sheetName val="S.RO"/>
      <sheetName val="PA.RO"/>
      <sheetName val="ABS"/>
      <sheetName val="S.ABS"/>
      <sheetName val="PA.ABS"/>
      <sheetName val="TRE"/>
      <sheetName val="Planilha1"/>
      <sheetName val="S.TRE"/>
      <sheetName val="PA.TRE"/>
      <sheetName val="OP-01 (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">
          <cell r="K4" t="str">
            <v xml:space="preserve">REALIZADAS </v>
          </cell>
          <cell r="L4" t="str">
            <v>ABERTAS</v>
          </cell>
        </row>
        <row r="5">
          <cell r="K5">
            <v>0</v>
          </cell>
          <cell r="L5">
            <v>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 de Objetivos"/>
      <sheetName val="MENU"/>
      <sheetName val="OBJETIVOS"/>
      <sheetName val="BSC"/>
      <sheetName val="PPM Interno"/>
      <sheetName val="S.PPM Interno"/>
      <sheetName val="PA.PPM Interno"/>
      <sheetName val="Satisfação"/>
      <sheetName val="S.Satisfação"/>
      <sheetName val="PA.Satisfação (2)"/>
      <sheetName val="Produtividade OEE"/>
      <sheetName val="Produtividade PÇS"/>
      <sheetName val="Produtividade HS"/>
      <sheetName val="S.Produtividade"/>
      <sheetName val="PA.Produtividade"/>
      <sheetName val="Refugo"/>
      <sheetName val="S.Refugo"/>
      <sheetName val="PA.Refugo"/>
      <sheetName val="Aquisições"/>
      <sheetName val="S.Aquisições"/>
      <sheetName val="PA.Aquisições"/>
      <sheetName val="TurnoOver"/>
      <sheetName val="S.TO"/>
      <sheetName val="PA.TO"/>
      <sheetName val="Entrega Aut"/>
      <sheetName val=" Entrega SFA"/>
      <sheetName val="S.Entrega Aut"/>
      <sheetName val="S.Entrega SFA"/>
      <sheetName val="PA.Entrega Aut"/>
      <sheetName val="PA.Entrega SFA"/>
      <sheetName val="RG"/>
      <sheetName val="S.RG"/>
      <sheetName val="PA.RG"/>
      <sheetName val="Seg trab"/>
      <sheetName val="Advertencias ST"/>
      <sheetName val="S.ST"/>
      <sheetName val="PA.ST"/>
      <sheetName val="QualCliente"/>
      <sheetName val="Planilha3"/>
      <sheetName val="S.QC"/>
      <sheetName val="PA.QC"/>
      <sheetName val="RO"/>
      <sheetName val="S.RO"/>
      <sheetName val="PA.RO"/>
      <sheetName val="ABS"/>
      <sheetName val="S.ABS"/>
      <sheetName val="PA.ABS"/>
      <sheetName val="TRE"/>
      <sheetName val="Planilha1"/>
      <sheetName val="S.TRE"/>
      <sheetName val="PA.TRE"/>
      <sheetName val="OP-01 (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7">
          <cell r="E7">
            <v>0.2949366914962207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ilton José Bosqueiro" id="{FB4558EA-7047-44FF-B3EB-119413554072}" userId="S::fabrica@evlautomotive.com.br::52a719f1-b1cd-4889-8fef-1c49bf998532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0" dT="2026-04-15T18:09:03.92" personId="{FB4558EA-7047-44FF-B3EB-119413554072}" id="{F044B4CF-AE39-4E4F-8ACA-CE8C9E067405}">
    <text>Ferramentas novas</text>
  </threadedComment>
  <threadedComment ref="F30" dT="2026-06-16T15:41:36.02" personId="{FB4558EA-7047-44FF-B3EB-119413554072}" id="{861A0E9A-4674-45DC-BCC3-030113FFED84}">
    <text>Vlr. Cesta basica e derivados da fabrica</text>
  </threadedComment>
  <threadedComment ref="B169" dT="2026-05-29T15:17:57.74" personId="{FB4558EA-7047-44FF-B3EB-119413554072}" id="{B6A8E143-42EC-43C6-9331-03C293D3CE30}">
    <text>Dias Perdidos em 1 milhão de horas tabalhadas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4" dT="2026-06-08T19:13:27.20" personId="{FB4558EA-7047-44FF-B3EB-119413554072}" id="{49E2EFFC-353C-43AE-B6F7-EF97E232D4C4}">
    <text>Reprojeto Mercedes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25" dT="2026-04-15T18:09:03.92" personId="{FB4558EA-7047-44FF-B3EB-119413554072}" id="{72AD120A-4222-4340-9B2E-136E7B8F2475}">
    <text>Ferramentas novas</text>
  </threadedComment>
  <threadedComment ref="F25" dT="2026-06-16T15:41:36.02" personId="{FB4558EA-7047-44FF-B3EB-119413554072}" id="{B2C2C7D6-8289-43D9-B314-3323D0602CD7}">
    <text>Vlr. Cesta basica e derivados da fabrica</text>
  </threadedComment>
  <threadedComment ref="A59" dT="2025-12-12T16:30:50.21" personId="{FB4558EA-7047-44FF-B3EB-119413554072}" id="{1F4BEB83-9673-48AE-A14E-BBD1434E7A36}">
    <text>Embalagem(Condição da bem + Dif qtde) + Recebimento (Falhas dimensionais)</text>
  </threadedComment>
  <threadedComment ref="A60" dT="2025-12-12T16:31:15.75" personId="{FB4558EA-7047-44FF-B3EB-119413554072}" id="{F4186169-9F95-45D5-A9AD-384CC7E615E5}">
    <text>Qtde refugo no processo produtivo</text>
  </threadedComment>
  <threadedComment ref="A61" dT="2025-12-12T16:31:49.85" personId="{FB4558EA-7047-44FF-B3EB-119413554072}" id="{2AF219FC-54B2-499D-88B2-C8840EC7989D}">
    <text>Qtde recebida x pedido colocado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../../../SGQ/35.%20ESG/S-SOCIAL/Codigo%20de%20Conduta_rev.00-26.docx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../../../RECURSOS%20HUMANOS/DESEMPENHO%20PESSOAL/Base%20de%20Cargos%20e%20Sal&#225;rios%202026.xlsx" TargetMode="External"/><Relationship Id="rId1" Type="http://schemas.openxmlformats.org/officeDocument/2006/relationships/hyperlink" Target="../../../SGQ/1.MQ%20&amp;%20anexos/Anexo%20II%20-%20Organograma%202026%20rev.11_Automotive_Global.pptx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../../../QUALIDADE/01%20-%20Recebimento/FORNECEDORES/2026/AUTOMOTIVE/IQF_G26_Automotive.xlsx?web=1" TargetMode="External"/><Relationship Id="rId4" Type="http://schemas.openxmlformats.org/officeDocument/2006/relationships/hyperlink" Target="../../../SGQ/35.%20ESG/G-GOVERNANCE/Politica%20Anticorrup&#231;&#227;o%20e%20Conflito%20de%20Interesses%200426.pdf" TargetMode="External"/><Relationship Id="rId9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A53A-DD7B-4DFA-A71B-23E0FF652CF5}">
  <sheetPr>
    <pageSetUpPr fitToPage="1"/>
  </sheetPr>
  <dimension ref="A1:W182"/>
  <sheetViews>
    <sheetView showGridLines="0" tabSelected="1" topLeftCell="A62" zoomScale="80" zoomScaleNormal="80" workbookViewId="0">
      <selection activeCell="P176" sqref="P176"/>
    </sheetView>
  </sheetViews>
  <sheetFormatPr defaultRowHeight="15" x14ac:dyDescent="0.25"/>
  <cols>
    <col min="2" max="2" width="46.42578125" bestFit="1" customWidth="1"/>
    <col min="3" max="7" width="15.140625" bestFit="1" customWidth="1"/>
    <col min="8" max="8" width="13.85546875" bestFit="1" customWidth="1"/>
    <col min="9" max="9" width="15.140625" bestFit="1" customWidth="1"/>
    <col min="10" max="14" width="10.5703125" customWidth="1"/>
    <col min="15" max="15" width="15.140625" bestFit="1" customWidth="1"/>
    <col min="16" max="16" width="10.140625" customWidth="1"/>
    <col min="19" max="19" width="17.140625" customWidth="1"/>
  </cols>
  <sheetData>
    <row r="1" spans="1:23" x14ac:dyDescent="0.25">
      <c r="A1" s="424" t="s">
        <v>0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6"/>
    </row>
    <row r="2" spans="1:23" ht="15.75" thickBot="1" x14ac:dyDescent="0.3">
      <c r="A2" s="427"/>
      <c r="B2" s="428"/>
      <c r="C2" s="428"/>
      <c r="D2" s="428"/>
      <c r="E2" s="428"/>
      <c r="F2" s="428"/>
      <c r="G2" s="428"/>
      <c r="H2" s="428"/>
      <c r="I2" s="428"/>
      <c r="J2" s="428"/>
      <c r="K2" s="428"/>
      <c r="L2" s="428"/>
      <c r="M2" s="428"/>
      <c r="N2" s="429"/>
    </row>
    <row r="3" spans="1:23" ht="15.75" thickBot="1" x14ac:dyDescent="0.3"/>
    <row r="4" spans="1:23" x14ac:dyDescent="0.25">
      <c r="A4" s="430" t="s">
        <v>1</v>
      </c>
      <c r="B4" s="159" t="s">
        <v>2</v>
      </c>
      <c r="C4" s="160">
        <v>0.9</v>
      </c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2"/>
      <c r="O4" s="157" t="s">
        <v>3</v>
      </c>
      <c r="Q4" s="433" t="s">
        <v>4</v>
      </c>
      <c r="R4" s="433"/>
      <c r="S4" s="433"/>
      <c r="T4" s="433"/>
    </row>
    <row r="5" spans="1:23" x14ac:dyDescent="0.25">
      <c r="A5" s="431"/>
      <c r="B5" s="163" t="s">
        <v>5</v>
      </c>
      <c r="C5" s="164" t="s">
        <v>6</v>
      </c>
      <c r="D5" s="164" t="s">
        <v>7</v>
      </c>
      <c r="E5" s="164" t="s">
        <v>8</v>
      </c>
      <c r="F5" s="164" t="s">
        <v>9</v>
      </c>
      <c r="G5" s="164" t="s">
        <v>10</v>
      </c>
      <c r="H5" s="164" t="s">
        <v>11</v>
      </c>
      <c r="I5" s="164" t="s">
        <v>12</v>
      </c>
      <c r="J5" s="164" t="s">
        <v>13</v>
      </c>
      <c r="K5" s="164" t="s">
        <v>14</v>
      </c>
      <c r="L5" s="164" t="s">
        <v>15</v>
      </c>
      <c r="M5" s="164" t="s">
        <v>16</v>
      </c>
      <c r="N5" s="165" t="s">
        <v>17</v>
      </c>
    </row>
    <row r="6" spans="1:23" ht="15.75" thickBot="1" x14ac:dyDescent="0.3">
      <c r="A6" s="431"/>
      <c r="B6" s="166" t="s">
        <v>18</v>
      </c>
      <c r="C6" s="167">
        <f>GESTÃO!D91</f>
        <v>83.19</v>
      </c>
      <c r="D6" s="167">
        <f>GESTÃO!E91</f>
        <v>81.540000000000006</v>
      </c>
      <c r="E6" s="167">
        <f>GESTÃO!F91</f>
        <v>82.13</v>
      </c>
      <c r="F6" s="167">
        <f>GESTÃO!G91</f>
        <v>83.45</v>
      </c>
      <c r="G6" s="167">
        <f>GESTÃO!H91</f>
        <v>81.61</v>
      </c>
      <c r="H6" s="167">
        <f>GESTÃO!I91</f>
        <v>83.04</v>
      </c>
      <c r="I6" s="167">
        <f>GESTÃO!J91</f>
        <v>52.238176000000003</v>
      </c>
      <c r="J6" s="167">
        <f>GESTÃO!K91</f>
        <v>77.73</v>
      </c>
      <c r="K6" s="167" t="s">
        <v>439</v>
      </c>
      <c r="L6" s="167" t="s">
        <v>439</v>
      </c>
      <c r="M6" s="167" t="s">
        <v>439</v>
      </c>
      <c r="N6" s="167" t="s">
        <v>439</v>
      </c>
      <c r="O6" s="17">
        <f>AVERAGE(C6:N6)</f>
        <v>78.116022000000001</v>
      </c>
      <c r="P6" s="168" t="s">
        <v>300</v>
      </c>
    </row>
    <row r="7" spans="1:23" ht="15.75" thickBot="1" x14ac:dyDescent="0.3">
      <c r="A7" s="431"/>
    </row>
    <row r="8" spans="1:23" x14ac:dyDescent="0.25">
      <c r="A8" s="431"/>
      <c r="B8" s="169" t="s">
        <v>19</v>
      </c>
      <c r="C8" s="170">
        <f>C28+C52+C60+C104+C100</f>
        <v>879281.38</v>
      </c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2"/>
      <c r="Q8" s="433" t="s">
        <v>20</v>
      </c>
      <c r="R8" s="433"/>
      <c r="S8" s="433"/>
      <c r="T8" s="433"/>
    </row>
    <row r="9" spans="1:23" x14ac:dyDescent="0.25">
      <c r="A9" s="431"/>
      <c r="B9" s="163" t="s">
        <v>5</v>
      </c>
      <c r="C9" s="164" t="s">
        <v>6</v>
      </c>
      <c r="D9" s="164" t="s">
        <v>7</v>
      </c>
      <c r="E9" s="164" t="s">
        <v>8</v>
      </c>
      <c r="F9" s="164" t="s">
        <v>9</v>
      </c>
      <c r="G9" s="164" t="s">
        <v>10</v>
      </c>
      <c r="H9" s="164" t="s">
        <v>11</v>
      </c>
      <c r="I9" s="164" t="s">
        <v>12</v>
      </c>
      <c r="J9" s="164" t="s">
        <v>13</v>
      </c>
      <c r="K9" s="164" t="s">
        <v>14</v>
      </c>
      <c r="L9" s="164" t="s">
        <v>15</v>
      </c>
      <c r="M9" s="164" t="s">
        <v>16</v>
      </c>
      <c r="N9" s="165" t="s">
        <v>17</v>
      </c>
      <c r="O9" s="410" t="s">
        <v>278</v>
      </c>
    </row>
    <row r="10" spans="1:23" ht="15.75" thickBot="1" x14ac:dyDescent="0.3">
      <c r="A10" s="431"/>
      <c r="B10" s="171" t="s">
        <v>18</v>
      </c>
      <c r="C10" s="172">
        <f>GESTÃO!D25</f>
        <v>15523.75</v>
      </c>
      <c r="D10" s="172">
        <f>GESTÃO!E25</f>
        <v>10354.75</v>
      </c>
      <c r="E10" s="172">
        <f>GESTÃO!F25</f>
        <v>6425.85</v>
      </c>
      <c r="F10" s="172">
        <f>GESTÃO!G25</f>
        <v>5685.32</v>
      </c>
      <c r="G10" s="172">
        <f>GESTÃO!H25</f>
        <v>3350</v>
      </c>
      <c r="H10" s="172">
        <f>GESTÃO!I25</f>
        <v>680</v>
      </c>
      <c r="I10" s="172">
        <f>GESTÃO!J25</f>
        <v>2977.89</v>
      </c>
      <c r="J10" s="173"/>
      <c r="K10" s="173"/>
      <c r="L10" s="173"/>
      <c r="M10" s="173"/>
      <c r="N10" s="173"/>
      <c r="O10" s="411">
        <f>SUM(C10:N10)</f>
        <v>44997.56</v>
      </c>
      <c r="P10" s="22"/>
    </row>
    <row r="11" spans="1:23" ht="15.75" thickBot="1" x14ac:dyDescent="0.3">
      <c r="A11" s="431"/>
    </row>
    <row r="12" spans="1:23" x14ac:dyDescent="0.25">
      <c r="A12" s="431"/>
      <c r="B12" s="169" t="s">
        <v>21</v>
      </c>
      <c r="C12" s="174">
        <v>4000</v>
      </c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6"/>
      <c r="Q12" s="434" t="s">
        <v>22</v>
      </c>
      <c r="R12" s="434"/>
      <c r="S12" s="434"/>
      <c r="T12" s="434"/>
    </row>
    <row r="13" spans="1:23" x14ac:dyDescent="0.25">
      <c r="A13" s="431"/>
      <c r="B13" s="163" t="s">
        <v>5</v>
      </c>
      <c r="C13" s="164" t="s">
        <v>6</v>
      </c>
      <c r="D13" s="164" t="s">
        <v>7</v>
      </c>
      <c r="E13" s="164" t="s">
        <v>8</v>
      </c>
      <c r="F13" s="164" t="s">
        <v>9</v>
      </c>
      <c r="G13" s="164" t="s">
        <v>10</v>
      </c>
      <c r="H13" s="164" t="s">
        <v>11</v>
      </c>
      <c r="I13" s="164" t="s">
        <v>12</v>
      </c>
      <c r="J13" s="164" t="s">
        <v>13</v>
      </c>
      <c r="K13" s="164" t="s">
        <v>14</v>
      </c>
      <c r="L13" s="164" t="s">
        <v>15</v>
      </c>
      <c r="M13" s="164" t="s">
        <v>16</v>
      </c>
      <c r="N13" s="165" t="s">
        <v>17</v>
      </c>
    </row>
    <row r="14" spans="1:23" ht="15.75" thickBot="1" x14ac:dyDescent="0.3">
      <c r="A14" s="431"/>
      <c r="B14" s="171" t="s">
        <v>18</v>
      </c>
      <c r="C14" s="177">
        <f>QUALIDADE!D96</f>
        <v>1517</v>
      </c>
      <c r="D14" s="177">
        <f>QUALIDADE!E96</f>
        <v>4765</v>
      </c>
      <c r="E14" s="177">
        <f>QUALIDADE!F96</f>
        <v>4350</v>
      </c>
      <c r="F14" s="177">
        <f>QUALIDADE!G96</f>
        <v>1446</v>
      </c>
      <c r="G14" s="177">
        <f>QUALIDADE!H96</f>
        <v>3317</v>
      </c>
      <c r="H14" s="177">
        <f>QUALIDADE!I96</f>
        <v>2386</v>
      </c>
      <c r="I14" s="177" t="s">
        <v>439</v>
      </c>
      <c r="J14" s="177"/>
      <c r="K14" s="177"/>
      <c r="L14" s="177"/>
      <c r="M14" s="177"/>
      <c r="N14" s="177"/>
      <c r="O14" s="16">
        <f>AVERAGE(C14:N14)</f>
        <v>2963.5</v>
      </c>
      <c r="P14" s="16" t="s">
        <v>317</v>
      </c>
    </row>
    <row r="15" spans="1:23" ht="15.75" thickBot="1" x14ac:dyDescent="0.3">
      <c r="A15" s="431"/>
    </row>
    <row r="16" spans="1:23" x14ac:dyDescent="0.25">
      <c r="A16" s="431"/>
      <c r="B16" s="159" t="s">
        <v>23</v>
      </c>
      <c r="C16" s="178">
        <v>500</v>
      </c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6"/>
      <c r="Q16" s="434" t="s">
        <v>24</v>
      </c>
      <c r="R16" s="434"/>
      <c r="S16" s="434"/>
      <c r="T16" s="434"/>
      <c r="U16" s="434"/>
      <c r="V16" s="434"/>
      <c r="W16" s="434"/>
    </row>
    <row r="17" spans="1:23" x14ac:dyDescent="0.25">
      <c r="A17" s="431"/>
      <c r="B17" s="163" t="s">
        <v>5</v>
      </c>
      <c r="C17" s="164" t="s">
        <v>6</v>
      </c>
      <c r="D17" s="164" t="s">
        <v>7</v>
      </c>
      <c r="E17" s="164" t="s">
        <v>8</v>
      </c>
      <c r="F17" s="164" t="s">
        <v>9</v>
      </c>
      <c r="G17" s="164" t="s">
        <v>10</v>
      </c>
      <c r="H17" s="164" t="s">
        <v>11</v>
      </c>
      <c r="I17" s="164" t="s">
        <v>12</v>
      </c>
      <c r="J17" s="164" t="s">
        <v>13</v>
      </c>
      <c r="K17" s="164" t="s">
        <v>14</v>
      </c>
      <c r="L17" s="164" t="s">
        <v>15</v>
      </c>
      <c r="M17" s="164" t="s">
        <v>16</v>
      </c>
      <c r="N17" s="165" t="s">
        <v>17</v>
      </c>
    </row>
    <row r="18" spans="1:23" ht="15.75" thickBot="1" x14ac:dyDescent="0.3">
      <c r="A18" s="432"/>
      <c r="B18" s="179" t="s">
        <v>18</v>
      </c>
      <c r="C18" s="180">
        <f>GESTÃO!D60</f>
        <v>0</v>
      </c>
      <c r="D18" s="180">
        <f>GESTÃO!E60</f>
        <v>0</v>
      </c>
      <c r="E18" s="180">
        <f>GESTÃO!F60</f>
        <v>0</v>
      </c>
      <c r="F18" s="180">
        <f>GESTÃO!G60</f>
        <v>0</v>
      </c>
      <c r="G18" s="180">
        <f>GESTÃO!H60</f>
        <v>3729.4</v>
      </c>
      <c r="H18" s="180">
        <v>0</v>
      </c>
      <c r="I18" s="180">
        <v>0</v>
      </c>
      <c r="J18" s="180"/>
      <c r="K18" s="180"/>
      <c r="L18" s="180"/>
      <c r="M18" s="180"/>
      <c r="N18" s="181"/>
      <c r="O18" s="122">
        <f>AVERAGE(C18:N18)</f>
        <v>532.7714285714286</v>
      </c>
      <c r="P18" t="s">
        <v>440</v>
      </c>
    </row>
    <row r="19" spans="1:23" ht="15.75" thickBot="1" x14ac:dyDescent="0.3">
      <c r="A19" s="182"/>
      <c r="B19" s="182"/>
      <c r="C19" s="182"/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82"/>
    </row>
    <row r="20" spans="1:23" x14ac:dyDescent="0.25">
      <c r="A20" s="441" t="s">
        <v>25</v>
      </c>
      <c r="B20" s="159" t="s">
        <v>26</v>
      </c>
      <c r="C20" s="183">
        <v>90</v>
      </c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5"/>
      <c r="Q20" s="434" t="s">
        <v>27</v>
      </c>
      <c r="R20" s="434"/>
      <c r="S20" s="434"/>
      <c r="T20" s="434"/>
      <c r="U20" s="434"/>
      <c r="V20" s="434"/>
      <c r="W20" s="434"/>
    </row>
    <row r="21" spans="1:23" x14ac:dyDescent="0.25">
      <c r="A21" s="442"/>
      <c r="B21" s="163" t="s">
        <v>5</v>
      </c>
      <c r="C21" s="164" t="s">
        <v>6</v>
      </c>
      <c r="D21" s="164" t="s">
        <v>7</v>
      </c>
      <c r="E21" s="164" t="s">
        <v>8</v>
      </c>
      <c r="F21" s="164" t="s">
        <v>9</v>
      </c>
      <c r="G21" s="164" t="s">
        <v>10</v>
      </c>
      <c r="H21" s="164" t="s">
        <v>11</v>
      </c>
      <c r="I21" s="164" t="s">
        <v>12</v>
      </c>
      <c r="J21" s="164" t="s">
        <v>13</v>
      </c>
      <c r="K21" s="164" t="s">
        <v>14</v>
      </c>
      <c r="L21" s="164" t="s">
        <v>15</v>
      </c>
      <c r="M21" s="164" t="s">
        <v>16</v>
      </c>
      <c r="N21" s="165" t="s">
        <v>17</v>
      </c>
    </row>
    <row r="22" spans="1:23" ht="15.75" thickBot="1" x14ac:dyDescent="0.3">
      <c r="A22" s="442"/>
      <c r="B22" s="186" t="s">
        <v>18</v>
      </c>
      <c r="C22" s="187">
        <f>COMPRAS!C58</f>
        <v>90.5</v>
      </c>
      <c r="D22" s="187">
        <f>COMPRAS!D58</f>
        <v>92.33</v>
      </c>
      <c r="E22" s="187">
        <f>COMPRAS!E58</f>
        <v>94.91</v>
      </c>
      <c r="F22" s="187">
        <f>COMPRAS!F58</f>
        <v>96.63</v>
      </c>
      <c r="G22" s="187">
        <f>COMPRAS!G58</f>
        <v>95.67</v>
      </c>
      <c r="H22" s="187">
        <f>COMPRAS!H58</f>
        <v>94.72</v>
      </c>
      <c r="I22" s="187" t="str">
        <f>COMPRAS!I58</f>
        <v>-</v>
      </c>
      <c r="J22" s="188"/>
      <c r="K22" s="188"/>
      <c r="L22" s="188"/>
      <c r="M22" s="188"/>
      <c r="N22" s="188"/>
      <c r="O22" s="17">
        <f>AVERAGE(C22:I22)</f>
        <v>94.126666666666665</v>
      </c>
      <c r="P22" t="s">
        <v>300</v>
      </c>
    </row>
    <row r="23" spans="1:23" s="190" customFormat="1" ht="15.75" thickBot="1" x14ac:dyDescent="0.3">
      <c r="A23" s="442"/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</row>
    <row r="24" spans="1:23" x14ac:dyDescent="0.25">
      <c r="A24" s="442"/>
      <c r="B24" s="191" t="s">
        <v>28</v>
      </c>
      <c r="C24" s="192">
        <v>100</v>
      </c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5"/>
      <c r="Q24" s="434" t="s">
        <v>27</v>
      </c>
      <c r="R24" s="434"/>
      <c r="S24" s="434"/>
      <c r="T24" s="434"/>
      <c r="U24" s="434"/>
      <c r="V24" s="434"/>
      <c r="W24" s="434"/>
    </row>
    <row r="25" spans="1:23" x14ac:dyDescent="0.25">
      <c r="A25" s="442"/>
      <c r="B25" s="163" t="s">
        <v>5</v>
      </c>
      <c r="C25" s="164" t="s">
        <v>6</v>
      </c>
      <c r="D25" s="164" t="s">
        <v>7</v>
      </c>
      <c r="E25" s="164" t="s">
        <v>8</v>
      </c>
      <c r="F25" s="164" t="s">
        <v>9</v>
      </c>
      <c r="G25" s="164" t="s">
        <v>10</v>
      </c>
      <c r="H25" s="164" t="s">
        <v>11</v>
      </c>
      <c r="I25" s="164" t="s">
        <v>12</v>
      </c>
      <c r="J25" s="164" t="s">
        <v>13</v>
      </c>
      <c r="K25" s="164" t="s">
        <v>14</v>
      </c>
      <c r="L25" s="164" t="s">
        <v>15</v>
      </c>
      <c r="M25" s="164" t="s">
        <v>16</v>
      </c>
      <c r="N25" s="165" t="s">
        <v>17</v>
      </c>
    </row>
    <row r="26" spans="1:23" ht="15.75" thickBot="1" x14ac:dyDescent="0.3">
      <c r="A26" s="442"/>
      <c r="B26" s="186" t="s">
        <v>18</v>
      </c>
      <c r="C26" s="293">
        <f>COMPRAS!C90</f>
        <v>28.304441302368822</v>
      </c>
      <c r="D26" s="293">
        <f>COMPRAS!D90</f>
        <v>90.602114235467042</v>
      </c>
      <c r="E26" s="293">
        <f>COMPRAS!E90</f>
        <v>102.02369699239628</v>
      </c>
      <c r="F26" s="293">
        <f>COMPRAS!F90</f>
        <v>91.556564678678626</v>
      </c>
      <c r="G26" s="293">
        <f>COMPRAS!G90</f>
        <v>62.276560813817305</v>
      </c>
      <c r="H26" s="293">
        <f>COMPRAS!H90</f>
        <v>27.082548781285304</v>
      </c>
      <c r="I26" s="293">
        <f>COMPRAS!I90</f>
        <v>27.634289734184215</v>
      </c>
      <c r="J26" s="193"/>
      <c r="K26" s="193"/>
      <c r="L26" s="193"/>
      <c r="M26" s="193"/>
      <c r="N26" s="194">
        <v>0</v>
      </c>
      <c r="O26" s="17">
        <f>AVERAGE(C26:E26)</f>
        <v>73.643417510077384</v>
      </c>
      <c r="P26" t="s">
        <v>300</v>
      </c>
    </row>
    <row r="27" spans="1:23" s="190" customFormat="1" ht="15.75" thickBot="1" x14ac:dyDescent="0.3">
      <c r="A27" s="442"/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89"/>
      <c r="N27" s="189"/>
    </row>
    <row r="28" spans="1:23" x14ac:dyDescent="0.25">
      <c r="A28" s="442"/>
      <c r="B28" s="159" t="s">
        <v>29</v>
      </c>
      <c r="C28" s="195">
        <v>100000</v>
      </c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5"/>
      <c r="Q28" s="434" t="s">
        <v>27</v>
      </c>
      <c r="R28" s="434"/>
      <c r="S28" s="434"/>
      <c r="T28" s="434"/>
      <c r="U28" s="434"/>
      <c r="V28" s="434"/>
      <c r="W28" s="434"/>
    </row>
    <row r="29" spans="1:23" x14ac:dyDescent="0.25">
      <c r="A29" s="442"/>
      <c r="B29" s="163" t="s">
        <v>5</v>
      </c>
      <c r="C29" s="164" t="s">
        <v>6</v>
      </c>
      <c r="D29" s="164" t="s">
        <v>7</v>
      </c>
      <c r="E29" s="164" t="s">
        <v>8</v>
      </c>
      <c r="F29" s="164" t="s">
        <v>9</v>
      </c>
      <c r="G29" s="164" t="s">
        <v>10</v>
      </c>
      <c r="H29" s="164" t="s">
        <v>11</v>
      </c>
      <c r="I29" s="164" t="s">
        <v>12</v>
      </c>
      <c r="J29" s="164" t="s">
        <v>13</v>
      </c>
      <c r="K29" s="164" t="s">
        <v>14</v>
      </c>
      <c r="L29" s="164" t="s">
        <v>15</v>
      </c>
      <c r="M29" s="164" t="s">
        <v>16</v>
      </c>
      <c r="N29" s="165" t="s">
        <v>17</v>
      </c>
    </row>
    <row r="30" spans="1:23" ht="15.75" thickBot="1" x14ac:dyDescent="0.3">
      <c r="A30" s="443"/>
      <c r="B30" s="196" t="s">
        <v>18</v>
      </c>
      <c r="C30" s="197">
        <f>COMPRAS!C25</f>
        <v>0</v>
      </c>
      <c r="D30" s="197">
        <f>COMPRAS!D25</f>
        <v>0</v>
      </c>
      <c r="E30" s="197">
        <f>COMPRAS!E25</f>
        <v>3071.1</v>
      </c>
      <c r="F30" s="197">
        <f>COMPRAS!F25</f>
        <v>2330.5700000000002</v>
      </c>
      <c r="G30" s="197">
        <f>COMPRAS!G25</f>
        <v>680</v>
      </c>
      <c r="H30" s="197">
        <f>COMPRAS!H25</f>
        <v>680</v>
      </c>
      <c r="I30" s="197">
        <f>COMPRAS!I25</f>
        <v>2977.89</v>
      </c>
      <c r="J30" s="197">
        <f>COMPRAS!J25</f>
        <v>2977.89</v>
      </c>
      <c r="K30" s="197">
        <f>COMPRAS!K25</f>
        <v>2977.89</v>
      </c>
      <c r="L30" s="197">
        <f>COMPRAS!L25</f>
        <v>2977.89</v>
      </c>
      <c r="M30" s="197">
        <f>COMPRAS!M25</f>
        <v>2977.89</v>
      </c>
      <c r="N30" s="197">
        <f>COMPRAS!N25</f>
        <v>2977.89</v>
      </c>
      <c r="O30" s="412">
        <f>SUM(C30:N30)</f>
        <v>24629.01</v>
      </c>
    </row>
    <row r="31" spans="1:23" ht="15.75" thickBot="1" x14ac:dyDescent="0.3">
      <c r="A31" s="182"/>
      <c r="B31" s="198"/>
      <c r="C31" s="199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</row>
    <row r="32" spans="1:23" x14ac:dyDescent="0.25">
      <c r="A32" s="438" t="s">
        <v>30</v>
      </c>
      <c r="B32" s="159" t="s">
        <v>31</v>
      </c>
      <c r="C32" s="183">
        <v>95</v>
      </c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2"/>
      <c r="O32" s="203" t="s">
        <v>32</v>
      </c>
      <c r="P32" s="203"/>
      <c r="Q32" s="434" t="s">
        <v>33</v>
      </c>
      <c r="R32" s="434"/>
      <c r="S32" s="434"/>
      <c r="T32" s="434"/>
      <c r="U32" s="434"/>
      <c r="V32" s="434"/>
      <c r="W32" s="434"/>
    </row>
    <row r="33" spans="1:23" x14ac:dyDescent="0.25">
      <c r="A33" s="439"/>
      <c r="B33" s="163" t="s">
        <v>5</v>
      </c>
      <c r="C33" s="164" t="s">
        <v>6</v>
      </c>
      <c r="D33" s="164" t="s">
        <v>7</v>
      </c>
      <c r="E33" s="164" t="s">
        <v>8</v>
      </c>
      <c r="F33" s="164" t="s">
        <v>9</v>
      </c>
      <c r="G33" s="164" t="s">
        <v>10</v>
      </c>
      <c r="H33" s="164" t="s">
        <v>11</v>
      </c>
      <c r="I33" s="164" t="s">
        <v>12</v>
      </c>
      <c r="J33" s="164" t="s">
        <v>13</v>
      </c>
      <c r="K33" s="164" t="s">
        <v>14</v>
      </c>
      <c r="L33" s="164" t="s">
        <v>15</v>
      </c>
      <c r="M33" s="164" t="s">
        <v>16</v>
      </c>
      <c r="N33" s="165" t="s">
        <v>17</v>
      </c>
    </row>
    <row r="34" spans="1:23" ht="15.75" thickBot="1" x14ac:dyDescent="0.3">
      <c r="A34" s="439"/>
      <c r="B34" s="204" t="s">
        <v>18</v>
      </c>
      <c r="C34" s="205"/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206">
        <v>0</v>
      </c>
      <c r="O34" s="207">
        <f>AVERAGE(C34:N34)</f>
        <v>0</v>
      </c>
      <c r="P34" s="207"/>
      <c r="Q34" s="208" t="s">
        <v>34</v>
      </c>
      <c r="R34" s="208"/>
    </row>
    <row r="35" spans="1:23" ht="15.75" thickBot="1" x14ac:dyDescent="0.3">
      <c r="A35" s="439"/>
    </row>
    <row r="36" spans="1:23" x14ac:dyDescent="0.25">
      <c r="A36" s="439"/>
      <c r="B36" s="159" t="s">
        <v>35</v>
      </c>
      <c r="C36" s="183">
        <v>1</v>
      </c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2"/>
    </row>
    <row r="37" spans="1:23" x14ac:dyDescent="0.25">
      <c r="A37" s="439"/>
      <c r="B37" s="163" t="s">
        <v>5</v>
      </c>
      <c r="C37" s="164" t="s">
        <v>6</v>
      </c>
      <c r="D37" s="164" t="s">
        <v>7</v>
      </c>
      <c r="E37" s="164" t="s">
        <v>8</v>
      </c>
      <c r="F37" s="164" t="s">
        <v>9</v>
      </c>
      <c r="G37" s="164" t="s">
        <v>10</v>
      </c>
      <c r="H37" s="164" t="s">
        <v>11</v>
      </c>
      <c r="I37" s="164" t="s">
        <v>12</v>
      </c>
      <c r="J37" s="164" t="s">
        <v>13</v>
      </c>
      <c r="K37" s="164" t="s">
        <v>14</v>
      </c>
      <c r="L37" s="164" t="s">
        <v>15</v>
      </c>
      <c r="M37" s="164" t="s">
        <v>16</v>
      </c>
      <c r="N37" s="165" t="s">
        <v>17</v>
      </c>
    </row>
    <row r="38" spans="1:23" ht="15.75" thickBot="1" x14ac:dyDescent="0.3">
      <c r="A38" s="439"/>
      <c r="B38" s="204" t="s">
        <v>18</v>
      </c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6"/>
      <c r="O38" s="140" t="e">
        <f>AVERAGE(C38:N38)</f>
        <v>#DIV/0!</v>
      </c>
      <c r="P38" s="209" t="s">
        <v>36</v>
      </c>
    </row>
    <row r="39" spans="1:23" ht="15.75" thickBot="1" x14ac:dyDescent="0.3">
      <c r="A39" s="439"/>
    </row>
    <row r="40" spans="1:23" x14ac:dyDescent="0.25">
      <c r="A40" s="439"/>
      <c r="B40" s="159" t="s">
        <v>37</v>
      </c>
      <c r="C40" s="183">
        <v>1</v>
      </c>
      <c r="D40" s="201"/>
      <c r="E40" s="201"/>
      <c r="F40" s="201"/>
      <c r="G40" s="201"/>
      <c r="H40" s="201"/>
      <c r="I40" s="201"/>
      <c r="J40" s="201"/>
      <c r="K40" s="201"/>
      <c r="L40" s="201"/>
      <c r="M40" s="201"/>
      <c r="N40" s="202"/>
      <c r="Q40" s="434" t="s">
        <v>38</v>
      </c>
      <c r="R40" s="434"/>
      <c r="S40" s="434"/>
      <c r="T40" s="434"/>
      <c r="U40" s="434"/>
      <c r="V40" s="434"/>
      <c r="W40" s="434"/>
    </row>
    <row r="41" spans="1:23" x14ac:dyDescent="0.25">
      <c r="A41" s="439"/>
      <c r="B41" s="163" t="s">
        <v>5</v>
      </c>
      <c r="C41" s="164" t="s">
        <v>6</v>
      </c>
      <c r="D41" s="164" t="s">
        <v>7</v>
      </c>
      <c r="E41" s="164" t="s">
        <v>8</v>
      </c>
      <c r="F41" s="164" t="s">
        <v>9</v>
      </c>
      <c r="G41" s="164" t="s">
        <v>10</v>
      </c>
      <c r="H41" s="164" t="s">
        <v>11</v>
      </c>
      <c r="I41" s="164" t="s">
        <v>12</v>
      </c>
      <c r="J41" s="164" t="s">
        <v>13</v>
      </c>
      <c r="K41" s="164" t="s">
        <v>14</v>
      </c>
      <c r="L41" s="164" t="s">
        <v>15</v>
      </c>
      <c r="M41" s="164" t="s">
        <v>16</v>
      </c>
      <c r="N41" s="165" t="s">
        <v>17</v>
      </c>
    </row>
    <row r="42" spans="1:23" ht="15.75" thickBot="1" x14ac:dyDescent="0.3">
      <c r="A42" s="440"/>
      <c r="B42" s="204" t="s">
        <v>18</v>
      </c>
      <c r="C42" s="205"/>
      <c r="D42" s="205"/>
      <c r="E42" s="205"/>
      <c r="F42" s="205"/>
      <c r="G42" s="205"/>
      <c r="H42" s="205"/>
      <c r="I42" s="205"/>
      <c r="J42" s="205"/>
      <c r="K42" s="205"/>
      <c r="L42" s="205"/>
      <c r="M42" s="205"/>
      <c r="N42" s="206">
        <v>0</v>
      </c>
      <c r="O42">
        <f>AVERAGE(C42:N42)</f>
        <v>0</v>
      </c>
    </row>
    <row r="43" spans="1:23" ht="15.75" thickBot="1" x14ac:dyDescent="0.3">
      <c r="A43" s="182"/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</row>
    <row r="44" spans="1:23" x14ac:dyDescent="0.25">
      <c r="A44" s="444" t="s">
        <v>39</v>
      </c>
      <c r="B44" s="159" t="s">
        <v>40</v>
      </c>
      <c r="C44" s="183">
        <v>4000</v>
      </c>
      <c r="D44" s="210"/>
      <c r="E44" s="210"/>
      <c r="F44" s="210"/>
      <c r="G44" s="210"/>
      <c r="H44" s="210"/>
      <c r="I44" s="210"/>
      <c r="J44" s="210"/>
      <c r="K44" s="210"/>
      <c r="L44" s="210"/>
      <c r="M44" s="210"/>
      <c r="N44" s="211"/>
    </row>
    <row r="45" spans="1:23" x14ac:dyDescent="0.25">
      <c r="A45" s="445"/>
      <c r="B45" s="163" t="s">
        <v>5</v>
      </c>
      <c r="C45" s="164" t="s">
        <v>6</v>
      </c>
      <c r="D45" s="164" t="s">
        <v>7</v>
      </c>
      <c r="E45" s="164" t="s">
        <v>8</v>
      </c>
      <c r="F45" s="164" t="s">
        <v>9</v>
      </c>
      <c r="G45" s="164" t="s">
        <v>10</v>
      </c>
      <c r="H45" s="164" t="s">
        <v>11</v>
      </c>
      <c r="I45" s="164" t="s">
        <v>12</v>
      </c>
      <c r="J45" s="164" t="s">
        <v>13</v>
      </c>
      <c r="K45" s="164" t="s">
        <v>14</v>
      </c>
      <c r="L45" s="164" t="s">
        <v>15</v>
      </c>
      <c r="M45" s="164" t="s">
        <v>16</v>
      </c>
      <c r="N45" s="165" t="s">
        <v>17</v>
      </c>
    </row>
    <row r="46" spans="1:23" ht="15.75" thickBot="1" x14ac:dyDescent="0.3">
      <c r="A46" s="445"/>
      <c r="B46" s="212" t="s">
        <v>18</v>
      </c>
      <c r="C46" s="315">
        <f>QUALIDADE!D96</f>
        <v>1517</v>
      </c>
      <c r="D46" s="315">
        <f>QUALIDADE!E96</f>
        <v>4765</v>
      </c>
      <c r="E46" s="315">
        <f>QUALIDADE!F96</f>
        <v>4350</v>
      </c>
      <c r="F46" s="213">
        <f>F14</f>
        <v>1446</v>
      </c>
      <c r="G46" s="213">
        <f>G14</f>
        <v>3317</v>
      </c>
      <c r="H46" s="213">
        <f t="shared" ref="H46" si="0">H14</f>
        <v>2386</v>
      </c>
      <c r="I46" s="213"/>
      <c r="J46" s="214"/>
      <c r="K46" s="214"/>
      <c r="L46" s="214"/>
      <c r="M46" s="214"/>
      <c r="N46" s="215"/>
      <c r="O46">
        <f>AVERAGE(C46:N46)</f>
        <v>2963.5</v>
      </c>
    </row>
    <row r="47" spans="1:23" ht="15.75" thickBot="1" x14ac:dyDescent="0.3">
      <c r="A47" s="445"/>
    </row>
    <row r="48" spans="1:23" x14ac:dyDescent="0.25">
      <c r="A48" s="445"/>
      <c r="B48" s="159" t="s">
        <v>41</v>
      </c>
      <c r="C48" s="183">
        <v>800</v>
      </c>
      <c r="D48" s="210"/>
      <c r="E48" s="210"/>
      <c r="F48" s="210"/>
      <c r="G48" s="210"/>
      <c r="H48" s="210"/>
      <c r="I48" s="210"/>
      <c r="J48" s="210"/>
      <c r="K48" s="210"/>
      <c r="L48" s="210"/>
      <c r="M48" s="210"/>
      <c r="N48" s="211"/>
    </row>
    <row r="49" spans="1:22" x14ac:dyDescent="0.25">
      <c r="A49" s="445"/>
      <c r="B49" s="163" t="s">
        <v>5</v>
      </c>
      <c r="C49" s="164" t="s">
        <v>6</v>
      </c>
      <c r="D49" s="164" t="s">
        <v>7</v>
      </c>
      <c r="E49" s="164" t="s">
        <v>8</v>
      </c>
      <c r="F49" s="164" t="s">
        <v>9</v>
      </c>
      <c r="G49" s="164" t="s">
        <v>10</v>
      </c>
      <c r="H49" s="164" t="s">
        <v>11</v>
      </c>
      <c r="I49" s="164" t="s">
        <v>12</v>
      </c>
      <c r="J49" s="164" t="s">
        <v>13</v>
      </c>
      <c r="K49" s="164" t="s">
        <v>14</v>
      </c>
      <c r="L49" s="164" t="s">
        <v>15</v>
      </c>
      <c r="M49" s="164" t="s">
        <v>16</v>
      </c>
      <c r="N49" s="165" t="s">
        <v>17</v>
      </c>
    </row>
    <row r="50" spans="1:22" ht="15.75" thickBot="1" x14ac:dyDescent="0.3">
      <c r="A50" s="445"/>
      <c r="B50" s="212" t="s">
        <v>18</v>
      </c>
      <c r="C50" s="315">
        <f>QUALIDADE!V96</f>
        <v>3030</v>
      </c>
      <c r="D50" s="315">
        <f>QUALIDADE!W96</f>
        <v>9797</v>
      </c>
      <c r="E50" s="315">
        <f>QUALIDADE!X96</f>
        <v>2905.5</v>
      </c>
      <c r="F50" s="315">
        <f>QUALIDADE!Y96</f>
        <v>4371</v>
      </c>
      <c r="G50" s="315">
        <f>QUALIDADE!Z96</f>
        <v>6583.5065835065834</v>
      </c>
      <c r="H50" s="315">
        <f>QUALIDADE!AA96</f>
        <v>1557.5</v>
      </c>
      <c r="I50" s="315">
        <f>QUALIDADE!AB96</f>
        <v>5998.5</v>
      </c>
      <c r="J50" s="213"/>
      <c r="K50" s="213"/>
      <c r="L50" s="213"/>
      <c r="M50" s="213"/>
      <c r="N50" s="312"/>
      <c r="O50" s="16">
        <f>AVERAGE(C50:N50)</f>
        <v>4891.8580833580836</v>
      </c>
      <c r="Q50" s="433" t="s">
        <v>42</v>
      </c>
      <c r="R50" s="433"/>
      <c r="S50" s="433"/>
      <c r="T50" s="433"/>
      <c r="U50" s="433"/>
      <c r="V50" s="433"/>
    </row>
    <row r="51" spans="1:22" ht="15.75" thickBot="1" x14ac:dyDescent="0.3">
      <c r="A51" s="445"/>
      <c r="C51" s="157"/>
      <c r="D51" s="157"/>
      <c r="E51" s="157"/>
      <c r="F51" s="157"/>
      <c r="G51" s="157"/>
      <c r="H51" s="157"/>
      <c r="I51" s="157"/>
      <c r="J51" s="157">
        <v>0</v>
      </c>
      <c r="K51" s="157"/>
      <c r="L51" s="157"/>
      <c r="M51" s="157"/>
      <c r="N51" s="157"/>
      <c r="Q51" s="433" t="s">
        <v>43</v>
      </c>
      <c r="R51" s="433"/>
      <c r="S51" s="433"/>
      <c r="T51" s="433"/>
      <c r="U51" s="433"/>
      <c r="V51" s="433"/>
    </row>
    <row r="52" spans="1:22" x14ac:dyDescent="0.25">
      <c r="A52" s="445"/>
      <c r="B52" s="159" t="s">
        <v>44</v>
      </c>
      <c r="C52" s="216">
        <v>126415</v>
      </c>
      <c r="D52" s="210"/>
      <c r="E52" s="210"/>
      <c r="F52" s="210"/>
      <c r="G52" s="210"/>
      <c r="H52" s="210"/>
      <c r="I52" s="210"/>
      <c r="J52" s="210"/>
      <c r="K52" s="210"/>
      <c r="L52" s="210"/>
      <c r="M52" s="210"/>
      <c r="N52" s="211"/>
    </row>
    <row r="53" spans="1:22" x14ac:dyDescent="0.25">
      <c r="A53" s="445"/>
      <c r="B53" s="163" t="s">
        <v>5</v>
      </c>
      <c r="C53" s="164" t="s">
        <v>6</v>
      </c>
      <c r="D53" s="164" t="s">
        <v>7</v>
      </c>
      <c r="E53" s="164" t="s">
        <v>8</v>
      </c>
      <c r="F53" s="164" t="s">
        <v>9</v>
      </c>
      <c r="G53" s="164" t="s">
        <v>10</v>
      </c>
      <c r="H53" s="164" t="s">
        <v>11</v>
      </c>
      <c r="I53" s="164" t="s">
        <v>12</v>
      </c>
      <c r="J53" s="164" t="s">
        <v>13</v>
      </c>
      <c r="K53" s="164" t="s">
        <v>14</v>
      </c>
      <c r="L53" s="164" t="s">
        <v>15</v>
      </c>
      <c r="M53" s="164" t="s">
        <v>16</v>
      </c>
      <c r="N53" s="165" t="s">
        <v>17</v>
      </c>
    </row>
    <row r="54" spans="1:22" ht="15.75" thickBot="1" x14ac:dyDescent="0.3">
      <c r="A54" s="445"/>
      <c r="B54" s="212" t="s">
        <v>18</v>
      </c>
      <c r="C54" s="213">
        <f>QUALIDADE!$C$24</f>
        <v>0</v>
      </c>
      <c r="D54" s="213">
        <v>0</v>
      </c>
      <c r="E54" s="213">
        <v>0</v>
      </c>
      <c r="F54" s="213">
        <v>0</v>
      </c>
      <c r="G54" s="213">
        <v>0</v>
      </c>
      <c r="H54" s="213">
        <v>0</v>
      </c>
      <c r="I54" s="213">
        <v>0</v>
      </c>
      <c r="J54" s="213"/>
      <c r="K54" s="213"/>
      <c r="L54" s="213"/>
      <c r="M54" s="213"/>
      <c r="N54" s="213"/>
      <c r="O54">
        <f>SUM(C54:N54)</f>
        <v>0</v>
      </c>
    </row>
    <row r="55" spans="1:22" ht="15.75" thickBot="1" x14ac:dyDescent="0.3">
      <c r="A55" s="445"/>
    </row>
    <row r="56" spans="1:22" x14ac:dyDescent="0.25">
      <c r="A56" s="445"/>
      <c r="B56" s="159" t="s">
        <v>45</v>
      </c>
      <c r="C56" s="183">
        <v>1.5</v>
      </c>
      <c r="D56" s="210"/>
      <c r="E56" s="210"/>
      <c r="F56" s="210"/>
      <c r="G56" s="210"/>
      <c r="H56" s="210"/>
      <c r="I56" s="210"/>
      <c r="J56" s="210"/>
      <c r="K56" s="210"/>
      <c r="L56" s="210"/>
      <c r="M56" s="210"/>
      <c r="N56" s="211"/>
    </row>
    <row r="57" spans="1:22" x14ac:dyDescent="0.25">
      <c r="A57" s="445"/>
      <c r="B57" s="163" t="s">
        <v>5</v>
      </c>
      <c r="C57" s="164" t="s">
        <v>6</v>
      </c>
      <c r="D57" s="164" t="s">
        <v>7</v>
      </c>
      <c r="E57" s="164" t="s">
        <v>8</v>
      </c>
      <c r="F57" s="164" t="s">
        <v>9</v>
      </c>
      <c r="G57" s="164" t="s">
        <v>10</v>
      </c>
      <c r="H57" s="164" t="s">
        <v>11</v>
      </c>
      <c r="I57" s="164" t="s">
        <v>12</v>
      </c>
      <c r="J57" s="164" t="s">
        <v>13</v>
      </c>
      <c r="K57" s="164" t="s">
        <v>14</v>
      </c>
      <c r="L57" s="164" t="s">
        <v>15</v>
      </c>
      <c r="M57" s="164" t="s">
        <v>16</v>
      </c>
      <c r="N57" s="165" t="s">
        <v>17</v>
      </c>
    </row>
    <row r="58" spans="1:22" ht="15.75" thickBot="1" x14ac:dyDescent="0.3">
      <c r="A58" s="446"/>
      <c r="B58" s="212" t="s">
        <v>18</v>
      </c>
      <c r="C58" s="316">
        <f>QUALIDADE!V61</f>
        <v>2.2196662429122021E-4</v>
      </c>
      <c r="D58" s="316">
        <f>QUALIDADE!W61</f>
        <v>1.6895887540972526E-4</v>
      </c>
      <c r="E58" s="316">
        <f>QUALIDADE!X61</f>
        <v>1.3750193362094154E-4</v>
      </c>
      <c r="F58" s="316">
        <f>QUALIDADE!Y61</f>
        <v>3.4835113794705065E-4</v>
      </c>
      <c r="G58" s="316">
        <f>QUALIDADE!Z61</f>
        <v>1.5772870662460569E-4</v>
      </c>
      <c r="H58" s="316">
        <f>QUALIDADE!AA61</f>
        <v>1.1854310523664167E-4</v>
      </c>
      <c r="I58" s="316" t="str">
        <f>QUALIDADE!AB61</f>
        <v>-</v>
      </c>
      <c r="J58" s="214"/>
      <c r="K58" s="214"/>
      <c r="L58" s="214"/>
      <c r="M58" s="214"/>
      <c r="N58" s="215">
        <v>0</v>
      </c>
      <c r="O58" s="294">
        <f>AVERAGE(C58:N58)</f>
        <v>1.6472148330431215E-4</v>
      </c>
    </row>
    <row r="59" spans="1:22" ht="15.75" thickBot="1" x14ac:dyDescent="0.3">
      <c r="A59" s="182"/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</row>
    <row r="60" spans="1:22" x14ac:dyDescent="0.25">
      <c r="A60" s="447" t="s">
        <v>46</v>
      </c>
      <c r="B60" s="159" t="s">
        <v>47</v>
      </c>
      <c r="C60" s="195">
        <v>250475</v>
      </c>
      <c r="D60" s="217"/>
      <c r="E60" s="217"/>
      <c r="F60" s="217"/>
      <c r="G60" s="217"/>
      <c r="H60" s="217"/>
      <c r="I60" s="217"/>
      <c r="J60" s="217"/>
      <c r="K60" s="217"/>
      <c r="L60" s="217"/>
      <c r="M60" s="217"/>
      <c r="N60" s="218"/>
    </row>
    <row r="61" spans="1:22" x14ac:dyDescent="0.25">
      <c r="A61" s="448"/>
      <c r="B61" s="163" t="s">
        <v>5</v>
      </c>
      <c r="C61" s="164" t="s">
        <v>6</v>
      </c>
      <c r="D61" s="164" t="s">
        <v>7</v>
      </c>
      <c r="E61" s="164" t="s">
        <v>8</v>
      </c>
      <c r="F61" s="164" t="s">
        <v>9</v>
      </c>
      <c r="G61" s="164" t="s">
        <v>10</v>
      </c>
      <c r="H61" s="164" t="s">
        <v>11</v>
      </c>
      <c r="I61" s="164" t="s">
        <v>12</v>
      </c>
      <c r="J61" s="164" t="s">
        <v>13</v>
      </c>
      <c r="K61" s="164" t="s">
        <v>14</v>
      </c>
      <c r="L61" s="164" t="s">
        <v>15</v>
      </c>
      <c r="M61" s="164" t="s">
        <v>16</v>
      </c>
      <c r="N61" s="165" t="s">
        <v>17</v>
      </c>
    </row>
    <row r="62" spans="1:22" ht="15.75" thickBot="1" x14ac:dyDescent="0.3">
      <c r="A62" s="448"/>
      <c r="B62" s="219" t="s">
        <v>18</v>
      </c>
      <c r="C62" s="299">
        <f>MANUTENÇÃO!C25</f>
        <v>12169</v>
      </c>
      <c r="D62" s="299">
        <f>MANUTENÇÃO!D25</f>
        <v>7000</v>
      </c>
      <c r="E62" s="299">
        <f>MANUTENÇÃO!E25</f>
        <v>0</v>
      </c>
      <c r="F62" s="299">
        <v>0</v>
      </c>
      <c r="G62" s="299">
        <v>0</v>
      </c>
      <c r="H62" s="299">
        <v>0</v>
      </c>
      <c r="I62" s="299">
        <v>0</v>
      </c>
      <c r="J62" s="295"/>
      <c r="K62" s="295"/>
      <c r="L62" s="295"/>
      <c r="M62" s="295"/>
      <c r="N62" s="296">
        <v>0</v>
      </c>
      <c r="O62" s="22">
        <f>SUM(C62:N62)</f>
        <v>19169</v>
      </c>
    </row>
    <row r="63" spans="1:22" ht="15.75" thickBot="1" x14ac:dyDescent="0.3">
      <c r="A63" s="448"/>
      <c r="B63" s="222"/>
    </row>
    <row r="64" spans="1:22" x14ac:dyDescent="0.25">
      <c r="A64" s="448"/>
      <c r="B64" s="159" t="s">
        <v>48</v>
      </c>
      <c r="C64" s="195">
        <v>2.5</v>
      </c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8"/>
    </row>
    <row r="65" spans="1:16" x14ac:dyDescent="0.25">
      <c r="A65" s="448"/>
      <c r="B65" s="163" t="s">
        <v>5</v>
      </c>
      <c r="C65" s="164" t="s">
        <v>6</v>
      </c>
      <c r="D65" s="164" t="s">
        <v>7</v>
      </c>
      <c r="E65" s="164" t="s">
        <v>8</v>
      </c>
      <c r="F65" s="164" t="s">
        <v>9</v>
      </c>
      <c r="G65" s="164" t="s">
        <v>10</v>
      </c>
      <c r="H65" s="164" t="s">
        <v>11</v>
      </c>
      <c r="I65" s="164" t="s">
        <v>12</v>
      </c>
      <c r="J65" s="164" t="s">
        <v>13</v>
      </c>
      <c r="K65" s="164" t="s">
        <v>14</v>
      </c>
      <c r="L65" s="164" t="s">
        <v>15</v>
      </c>
      <c r="M65" s="164" t="s">
        <v>16</v>
      </c>
      <c r="N65" s="165" t="s">
        <v>17</v>
      </c>
    </row>
    <row r="66" spans="1:16" ht="15.75" thickBot="1" x14ac:dyDescent="0.3">
      <c r="A66" s="448"/>
      <c r="B66" s="219" t="s">
        <v>18</v>
      </c>
      <c r="C66" s="298">
        <f>MANUTENÇÃO!U23</f>
        <v>3.1831877825259466E-2</v>
      </c>
      <c r="D66" s="298">
        <f>MANUTENÇÃO!V23</f>
        <v>1.3491411311449288E-3</v>
      </c>
      <c r="E66" s="298">
        <f>MANUTENÇÃO!W23</f>
        <v>2.4695374471949312E-2</v>
      </c>
      <c r="F66" s="332">
        <f>MANUTENÇÃO!X23</f>
        <v>6.9582305454573501E-2</v>
      </c>
      <c r="G66" s="332">
        <f>MANUTENÇÃO!Y23</f>
        <v>2.9372972072132568E-2</v>
      </c>
      <c r="H66" s="332">
        <f>MANUTENÇÃO!Z23</f>
        <v>1.8465709474567316E-2</v>
      </c>
      <c r="I66" s="332">
        <f>MANUTENÇÃO!AA23</f>
        <v>0</v>
      </c>
      <c r="J66" s="220"/>
      <c r="K66" s="220"/>
      <c r="L66" s="220"/>
      <c r="M66" s="220"/>
      <c r="N66" s="221">
        <v>0</v>
      </c>
      <c r="O66" s="168">
        <f>AVERAGE(C66:N66)</f>
        <v>2.1912172553703389E-2</v>
      </c>
    </row>
    <row r="67" spans="1:16" ht="15.75" thickBot="1" x14ac:dyDescent="0.3">
      <c r="A67" s="448"/>
    </row>
    <row r="68" spans="1:16" x14ac:dyDescent="0.25">
      <c r="A68" s="448"/>
      <c r="B68" s="159" t="s">
        <v>49</v>
      </c>
      <c r="C68" s="223">
        <v>3</v>
      </c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8"/>
    </row>
    <row r="69" spans="1:16" x14ac:dyDescent="0.25">
      <c r="A69" s="448"/>
      <c r="B69" s="163" t="s">
        <v>5</v>
      </c>
      <c r="C69" s="164" t="s">
        <v>6</v>
      </c>
      <c r="D69" s="164" t="s">
        <v>7</v>
      </c>
      <c r="E69" s="164" t="s">
        <v>8</v>
      </c>
      <c r="F69" s="164" t="s">
        <v>9</v>
      </c>
      <c r="G69" s="164" t="s">
        <v>10</v>
      </c>
      <c r="H69" s="164" t="s">
        <v>11</v>
      </c>
      <c r="I69" s="164" t="s">
        <v>12</v>
      </c>
      <c r="J69" s="164" t="s">
        <v>13</v>
      </c>
      <c r="K69" s="164" t="s">
        <v>14</v>
      </c>
      <c r="L69" s="164" t="s">
        <v>15</v>
      </c>
      <c r="M69" s="164" t="s">
        <v>16</v>
      </c>
      <c r="N69" s="165" t="s">
        <v>17</v>
      </c>
    </row>
    <row r="70" spans="1:16" ht="15.75" thickBot="1" x14ac:dyDescent="0.3">
      <c r="A70" s="449"/>
      <c r="B70" s="219" t="s">
        <v>18</v>
      </c>
      <c r="C70" s="297">
        <f>MANUTENÇÃO!AM23</f>
        <v>0.417116067876593</v>
      </c>
      <c r="D70" s="297">
        <f>MANUTENÇÃO!AN23</f>
        <v>3.1490937439095694E-2</v>
      </c>
      <c r="E70" s="297">
        <f>MANUTENÇÃO!AO23</f>
        <v>0.3302053085826735</v>
      </c>
      <c r="F70" s="297">
        <f>MANUTENÇÃO!AP23</f>
        <v>0.61220531770547648</v>
      </c>
      <c r="G70" s="297">
        <f>MANUTENÇÃO!AQ23</f>
        <v>0.37165019277953032</v>
      </c>
      <c r="H70" s="297">
        <f>MANUTENÇÃO!AR23</f>
        <v>0.23966918036840154</v>
      </c>
      <c r="I70" s="297">
        <f>MANUTENÇÃO!AS23</f>
        <v>0</v>
      </c>
      <c r="J70" s="224"/>
      <c r="K70" s="224"/>
      <c r="L70" s="224"/>
      <c r="M70" s="224"/>
      <c r="N70" s="225">
        <v>0</v>
      </c>
      <c r="O70" s="226">
        <f>AVERAGE(C70:N70)</f>
        <v>0.25029212559397135</v>
      </c>
    </row>
    <row r="71" spans="1:16" ht="15.75" thickBot="1" x14ac:dyDescent="0.3">
      <c r="A71" s="182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</row>
    <row r="72" spans="1:16" x14ac:dyDescent="0.25">
      <c r="A72" s="450" t="s">
        <v>50</v>
      </c>
      <c r="B72" s="159" t="s">
        <v>51</v>
      </c>
      <c r="C72" s="183">
        <v>20</v>
      </c>
      <c r="D72" s="227"/>
      <c r="E72" s="227"/>
      <c r="F72" s="227"/>
      <c r="G72" s="227"/>
      <c r="H72" s="227"/>
      <c r="I72" s="227"/>
      <c r="J72" s="227"/>
      <c r="K72" s="227"/>
      <c r="L72" s="227"/>
      <c r="M72" s="227"/>
      <c r="N72" s="228"/>
      <c r="O72" s="190"/>
      <c r="P72" s="190"/>
    </row>
    <row r="73" spans="1:16" x14ac:dyDescent="0.25">
      <c r="A73" s="451"/>
      <c r="B73" s="229" t="s">
        <v>5</v>
      </c>
      <c r="C73" s="230" t="s">
        <v>6</v>
      </c>
      <c r="D73" s="164" t="s">
        <v>7</v>
      </c>
      <c r="E73" s="164" t="s">
        <v>8</v>
      </c>
      <c r="F73" s="164" t="s">
        <v>9</v>
      </c>
      <c r="G73" s="164" t="s">
        <v>10</v>
      </c>
      <c r="H73" s="164" t="s">
        <v>11</v>
      </c>
      <c r="I73" s="164" t="s">
        <v>12</v>
      </c>
      <c r="J73" s="164" t="s">
        <v>13</v>
      </c>
      <c r="K73" s="164" t="s">
        <v>14</v>
      </c>
      <c r="L73" s="164" t="s">
        <v>15</v>
      </c>
      <c r="M73" s="164" t="s">
        <v>16</v>
      </c>
      <c r="N73" s="165" t="s">
        <v>17</v>
      </c>
    </row>
    <row r="74" spans="1:16" ht="15.75" thickBot="1" x14ac:dyDescent="0.3">
      <c r="A74" s="451"/>
      <c r="B74" s="231" t="s">
        <v>18</v>
      </c>
      <c r="C74" s="300">
        <f>'ESG - S RH1'!C24</f>
        <v>8</v>
      </c>
      <c r="D74" s="300">
        <f>'ESG - S RH1'!D24</f>
        <v>0</v>
      </c>
      <c r="E74" s="300">
        <f>'ESG - S RH1'!E24</f>
        <v>5</v>
      </c>
      <c r="F74" s="300">
        <f>'ESG - S RH1'!F24</f>
        <v>0</v>
      </c>
      <c r="G74" s="300">
        <f>'ESG - S RH1'!G24</f>
        <v>0</v>
      </c>
      <c r="H74" s="300">
        <f>'ESG - S RH1'!H24</f>
        <v>0</v>
      </c>
      <c r="I74" s="300">
        <f>'ESG - S RH1'!I24</f>
        <v>0</v>
      </c>
      <c r="J74" s="232"/>
      <c r="K74" s="232"/>
      <c r="L74" s="232"/>
      <c r="M74" s="232"/>
      <c r="N74" s="233">
        <v>0</v>
      </c>
      <c r="O74">
        <f>AVERAGE(C74:N74)</f>
        <v>1.625</v>
      </c>
    </row>
    <row r="75" spans="1:16" ht="15.75" thickBot="1" x14ac:dyDescent="0.3">
      <c r="A75" s="451"/>
      <c r="C75" s="157"/>
    </row>
    <row r="76" spans="1:16" x14ac:dyDescent="0.25">
      <c r="A76" s="451"/>
      <c r="B76" s="159" t="s">
        <v>52</v>
      </c>
      <c r="C76" s="317">
        <v>0.03</v>
      </c>
      <c r="D76" s="227"/>
      <c r="E76" s="227"/>
      <c r="F76" s="227"/>
      <c r="G76" s="227"/>
      <c r="H76" s="227"/>
      <c r="I76" s="227"/>
      <c r="J76" s="227"/>
      <c r="K76" s="227"/>
      <c r="L76" s="227"/>
      <c r="M76" s="227"/>
      <c r="N76" s="228"/>
    </row>
    <row r="77" spans="1:16" x14ac:dyDescent="0.25">
      <c r="A77" s="451"/>
      <c r="B77" s="163" t="s">
        <v>5</v>
      </c>
      <c r="C77" s="230" t="s">
        <v>6</v>
      </c>
      <c r="D77" s="164" t="s">
        <v>7</v>
      </c>
      <c r="E77" s="164" t="s">
        <v>8</v>
      </c>
      <c r="F77" s="164" t="s">
        <v>9</v>
      </c>
      <c r="G77" s="164" t="s">
        <v>10</v>
      </c>
      <c r="H77" s="164" t="s">
        <v>11</v>
      </c>
      <c r="I77" s="164" t="s">
        <v>12</v>
      </c>
      <c r="J77" s="164" t="s">
        <v>13</v>
      </c>
      <c r="K77" s="164" t="s">
        <v>14</v>
      </c>
      <c r="L77" s="164" t="s">
        <v>15</v>
      </c>
      <c r="M77" s="164" t="s">
        <v>16</v>
      </c>
      <c r="N77" s="165" t="s">
        <v>17</v>
      </c>
    </row>
    <row r="78" spans="1:16" ht="15.75" thickBot="1" x14ac:dyDescent="0.3">
      <c r="A78" s="451"/>
      <c r="B78" s="231" t="s">
        <v>18</v>
      </c>
      <c r="C78" s="301">
        <f>'ESG - S RH1'!T24</f>
        <v>3.0954529195385112E-2</v>
      </c>
      <c r="D78" s="301">
        <f>'ESG - S RH1'!U24</f>
        <v>2.2683559761868418E-2</v>
      </c>
      <c r="E78" s="301">
        <f>'ESG - S RH1'!V24</f>
        <v>1.9515958181734443E-2</v>
      </c>
      <c r="F78" s="301">
        <f>'ESG - S RH1'!W24</f>
        <v>1.8400063624795494E-2</v>
      </c>
      <c r="G78" s="301">
        <f>'ESG - S RH1'!X24</f>
        <v>3.8999727025647718E-2</v>
      </c>
      <c r="H78" s="301">
        <f>'ESG - S RH1'!Y24</f>
        <v>1.2289548690845729E-2</v>
      </c>
      <c r="I78" s="301">
        <f>'ESG - S RH1'!Z24</f>
        <v>1.8726591760299626E-3</v>
      </c>
      <c r="J78" s="232"/>
      <c r="K78" s="232"/>
      <c r="L78" s="232"/>
      <c r="M78" s="232"/>
      <c r="N78" s="233">
        <v>0</v>
      </c>
      <c r="O78" s="84">
        <f>AVERAGE(C78:N78)</f>
        <v>1.8089505707038361E-2</v>
      </c>
    </row>
    <row r="79" spans="1:16" ht="15.75" thickBot="1" x14ac:dyDescent="0.3">
      <c r="A79" s="451"/>
      <c r="C79" s="157"/>
    </row>
    <row r="80" spans="1:16" x14ac:dyDescent="0.25">
      <c r="A80" s="451"/>
      <c r="B80" s="159" t="s">
        <v>53</v>
      </c>
      <c r="C80" s="195">
        <v>5</v>
      </c>
      <c r="D80" s="227"/>
      <c r="E80" s="227"/>
      <c r="F80" s="227"/>
      <c r="G80" s="227"/>
      <c r="H80" s="227"/>
      <c r="I80" s="227"/>
      <c r="J80" s="227"/>
      <c r="K80" s="227"/>
      <c r="L80" s="227"/>
      <c r="M80" s="227"/>
      <c r="N80" s="228"/>
    </row>
    <row r="81" spans="1:16" x14ac:dyDescent="0.25">
      <c r="A81" s="451"/>
      <c r="B81" s="163" t="s">
        <v>5</v>
      </c>
      <c r="C81" s="230" t="s">
        <v>6</v>
      </c>
      <c r="D81" s="164" t="s">
        <v>7</v>
      </c>
      <c r="E81" s="164" t="s">
        <v>8</v>
      </c>
      <c r="F81" s="164" t="s">
        <v>9</v>
      </c>
      <c r="G81" s="164" t="s">
        <v>10</v>
      </c>
      <c r="H81" s="164" t="s">
        <v>11</v>
      </c>
      <c r="I81" s="164" t="s">
        <v>12</v>
      </c>
      <c r="J81" s="164" t="s">
        <v>13</v>
      </c>
      <c r="K81" s="164" t="s">
        <v>14</v>
      </c>
      <c r="L81" s="164" t="s">
        <v>15</v>
      </c>
      <c r="M81" s="164" t="s">
        <v>16</v>
      </c>
      <c r="N81" s="165" t="s">
        <v>17</v>
      </c>
    </row>
    <row r="82" spans="1:16" ht="15.75" thickBot="1" x14ac:dyDescent="0.3">
      <c r="A82" s="451"/>
      <c r="B82" s="231" t="s">
        <v>18</v>
      </c>
      <c r="C82" s="302">
        <f>'ESG - S RH1'!T54</f>
        <v>5.8823529411764701</v>
      </c>
      <c r="D82" s="302">
        <f>'ESG - S RH1'!U54</f>
        <v>3.125</v>
      </c>
      <c r="E82" s="302">
        <f>'ESG - S RH1'!V54</f>
        <v>5.3191489361702127</v>
      </c>
      <c r="F82" s="302">
        <f>'ESG - S RH1'!W54</f>
        <v>2.2222222222222223</v>
      </c>
      <c r="G82" s="302">
        <f>'ESG - S RH1'!X54</f>
        <v>1.1363636363636365</v>
      </c>
      <c r="H82" s="302">
        <f>'ESG - S RH1'!Y54</f>
        <v>8.9743589743589745</v>
      </c>
      <c r="I82" s="302">
        <f>'ESG - S RH1'!Z54</f>
        <v>0</v>
      </c>
      <c r="J82" s="232"/>
      <c r="K82" s="232"/>
      <c r="L82" s="232"/>
      <c r="M82" s="232"/>
      <c r="N82" s="233">
        <v>0</v>
      </c>
      <c r="O82" s="17">
        <f>AVERAGE(C82:N82)</f>
        <v>3.3324308387864394</v>
      </c>
    </row>
    <row r="83" spans="1:16" ht="15.75" thickBot="1" x14ac:dyDescent="0.3">
      <c r="A83" s="451"/>
      <c r="C83" s="157"/>
    </row>
    <row r="84" spans="1:16" x14ac:dyDescent="0.25">
      <c r="A84" s="451"/>
      <c r="B84" s="159" t="s">
        <v>54</v>
      </c>
      <c r="C84" s="183">
        <v>720</v>
      </c>
      <c r="D84" s="227"/>
      <c r="E84" s="227"/>
      <c r="F84" s="227"/>
      <c r="G84" s="227"/>
      <c r="H84" s="227"/>
      <c r="I84" s="227"/>
      <c r="J84" s="227"/>
      <c r="K84" s="227"/>
      <c r="L84" s="227"/>
      <c r="M84" s="227"/>
      <c r="N84" s="228"/>
    </row>
    <row r="85" spans="1:16" x14ac:dyDescent="0.25">
      <c r="A85" s="451"/>
      <c r="B85" s="163" t="s">
        <v>5</v>
      </c>
      <c r="C85" s="230" t="s">
        <v>6</v>
      </c>
      <c r="D85" s="164" t="s">
        <v>7</v>
      </c>
      <c r="E85" s="164" t="s">
        <v>8</v>
      </c>
      <c r="F85" s="164" t="s">
        <v>9</v>
      </c>
      <c r="G85" s="164" t="s">
        <v>10</v>
      </c>
      <c r="H85" s="164" t="s">
        <v>11</v>
      </c>
      <c r="I85" s="164" t="s">
        <v>12</v>
      </c>
      <c r="J85" s="164" t="s">
        <v>13</v>
      </c>
      <c r="K85" s="164" t="s">
        <v>14</v>
      </c>
      <c r="L85" s="164" t="s">
        <v>15</v>
      </c>
      <c r="M85" s="164" t="s">
        <v>16</v>
      </c>
      <c r="N85" s="165" t="s">
        <v>17</v>
      </c>
    </row>
    <row r="86" spans="1:16" ht="15.75" thickBot="1" x14ac:dyDescent="0.3">
      <c r="A86" s="452"/>
      <c r="B86" s="231" t="s">
        <v>18</v>
      </c>
      <c r="C86" s="303">
        <f>'ESG - S RH1'!C53</f>
        <v>98</v>
      </c>
      <c r="D86" s="303">
        <f>'ESG - S RH1'!D53</f>
        <v>106</v>
      </c>
      <c r="E86" s="303">
        <f>'ESG - S RH1'!E53</f>
        <v>238</v>
      </c>
      <c r="F86" s="303">
        <f>'ESG - S RH1'!F53</f>
        <v>332</v>
      </c>
      <c r="G86" s="303">
        <f>'ESG - S RH1'!G53</f>
        <v>599.04999999999995</v>
      </c>
      <c r="H86" s="303">
        <f>'ESG - S RH1'!H53</f>
        <v>624.29999999999995</v>
      </c>
      <c r="I86" s="303">
        <f>'ESG - S RH1'!I53</f>
        <v>0</v>
      </c>
      <c r="J86" s="232"/>
      <c r="K86" s="232"/>
      <c r="L86" s="232"/>
      <c r="M86" s="232"/>
      <c r="N86" s="233">
        <v>0</v>
      </c>
      <c r="O86" s="27">
        <f>H86/C84</f>
        <v>0.86708333333333332</v>
      </c>
    </row>
    <row r="87" spans="1:16" ht="15.75" thickBot="1" x14ac:dyDescent="0.3">
      <c r="A87" s="182"/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</row>
    <row r="88" spans="1:16" x14ac:dyDescent="0.25">
      <c r="A88" s="453" t="s">
        <v>55</v>
      </c>
      <c r="B88" s="159" t="s">
        <v>56</v>
      </c>
      <c r="C88" s="183">
        <v>90</v>
      </c>
      <c r="D88" s="234"/>
      <c r="E88" s="234"/>
      <c r="F88" s="234"/>
      <c r="G88" s="234"/>
      <c r="H88" s="234"/>
      <c r="I88" s="234"/>
      <c r="J88" s="234"/>
      <c r="K88" s="234"/>
      <c r="L88" s="234"/>
      <c r="M88" s="234"/>
      <c r="N88" s="235"/>
    </row>
    <row r="89" spans="1:16" x14ac:dyDescent="0.25">
      <c r="A89" s="454"/>
      <c r="B89" s="163" t="s">
        <v>5</v>
      </c>
      <c r="C89" s="164" t="s">
        <v>6</v>
      </c>
      <c r="D89" s="164" t="s">
        <v>7</v>
      </c>
      <c r="E89" s="164" t="s">
        <v>8</v>
      </c>
      <c r="F89" s="164" t="s">
        <v>9</v>
      </c>
      <c r="G89" s="164" t="s">
        <v>10</v>
      </c>
      <c r="H89" s="164" t="s">
        <v>11</v>
      </c>
      <c r="I89" s="164" t="s">
        <v>12</v>
      </c>
      <c r="J89" s="164" t="s">
        <v>13</v>
      </c>
      <c r="K89" s="164" t="s">
        <v>14</v>
      </c>
      <c r="L89" s="164" t="s">
        <v>15</v>
      </c>
      <c r="M89" s="164" t="s">
        <v>16</v>
      </c>
      <c r="N89" s="165" t="s">
        <v>17</v>
      </c>
    </row>
    <row r="90" spans="1:16" ht="15.75" thickBot="1" x14ac:dyDescent="0.3">
      <c r="A90" s="454"/>
      <c r="B90" s="236" t="s">
        <v>18</v>
      </c>
      <c r="C90" s="305">
        <f>PROCESSOS!C82</f>
        <v>87.69</v>
      </c>
      <c r="D90" s="305">
        <f>PROCESSOS!D82</f>
        <v>87.69</v>
      </c>
      <c r="E90" s="305">
        <f>PROCESSOS!E82</f>
        <v>87.69</v>
      </c>
      <c r="F90" s="305">
        <f>PROCESSOS!F82</f>
        <v>94.95</v>
      </c>
      <c r="G90" s="305">
        <f>PROCESSOS!G82</f>
        <v>94.95</v>
      </c>
      <c r="H90" s="305">
        <f>PROCESSOS!H82</f>
        <v>94.95</v>
      </c>
      <c r="I90" s="305">
        <f>PROCESSOS!I82</f>
        <v>94.95</v>
      </c>
      <c r="J90" s="413"/>
      <c r="K90" s="413"/>
      <c r="L90" s="413"/>
      <c r="M90" s="413"/>
      <c r="N90" s="414">
        <v>0</v>
      </c>
      <c r="O90" s="22">
        <f>AVERAGE(C90:F90)</f>
        <v>89.504999999999995</v>
      </c>
    </row>
    <row r="91" spans="1:16" ht="15.75" thickBot="1" x14ac:dyDescent="0.3">
      <c r="A91" s="454"/>
    </row>
    <row r="92" spans="1:16" x14ac:dyDescent="0.25">
      <c r="A92" s="454"/>
      <c r="B92" s="159" t="s">
        <v>2</v>
      </c>
      <c r="C92" s="183">
        <v>90</v>
      </c>
      <c r="D92" s="234"/>
      <c r="E92" s="234"/>
      <c r="F92" s="234"/>
      <c r="G92" s="234"/>
      <c r="H92" s="234"/>
      <c r="I92" s="234"/>
      <c r="J92" s="234"/>
      <c r="K92" s="234"/>
      <c r="L92" s="234"/>
      <c r="M92" s="234"/>
      <c r="N92" s="235"/>
    </row>
    <row r="93" spans="1:16" x14ac:dyDescent="0.25">
      <c r="A93" s="454"/>
      <c r="B93" s="163" t="s">
        <v>5</v>
      </c>
      <c r="C93" s="164" t="s">
        <v>6</v>
      </c>
      <c r="D93" s="164" t="s">
        <v>7</v>
      </c>
      <c r="E93" s="164" t="s">
        <v>8</v>
      </c>
      <c r="F93" s="164" t="s">
        <v>9</v>
      </c>
      <c r="G93" s="164" t="s">
        <v>10</v>
      </c>
      <c r="H93" s="164" t="s">
        <v>11</v>
      </c>
      <c r="I93" s="164" t="s">
        <v>12</v>
      </c>
      <c r="J93" s="164" t="s">
        <v>13</v>
      </c>
      <c r="K93" s="164" t="s">
        <v>14</v>
      </c>
      <c r="L93" s="164" t="s">
        <v>15</v>
      </c>
      <c r="M93" s="164" t="s">
        <v>16</v>
      </c>
      <c r="N93" s="165" t="s">
        <v>17</v>
      </c>
    </row>
    <row r="94" spans="1:16" ht="15.75" thickBot="1" x14ac:dyDescent="0.3">
      <c r="A94" s="454"/>
      <c r="B94" s="236" t="s">
        <v>18</v>
      </c>
      <c r="C94" s="313">
        <f>C6</f>
        <v>83.19</v>
      </c>
      <c r="D94" s="314">
        <f t="shared" ref="D94:N94" si="1">D6</f>
        <v>81.540000000000006</v>
      </c>
      <c r="E94" s="314">
        <f t="shared" si="1"/>
        <v>82.13</v>
      </c>
      <c r="F94" s="313">
        <f t="shared" si="1"/>
        <v>83.45</v>
      </c>
      <c r="G94" s="314">
        <f t="shared" si="1"/>
        <v>81.61</v>
      </c>
      <c r="H94" s="314">
        <f t="shared" si="1"/>
        <v>83.04</v>
      </c>
      <c r="I94" s="314">
        <f t="shared" si="1"/>
        <v>52.238176000000003</v>
      </c>
      <c r="J94" s="239">
        <f t="shared" si="1"/>
        <v>77.73</v>
      </c>
      <c r="K94" s="239" t="str">
        <f t="shared" si="1"/>
        <v>-</v>
      </c>
      <c r="L94" s="239" t="str">
        <f t="shared" si="1"/>
        <v>-</v>
      </c>
      <c r="M94" s="239" t="str">
        <f t="shared" si="1"/>
        <v>-</v>
      </c>
      <c r="N94" s="239" t="str">
        <f t="shared" si="1"/>
        <v>-</v>
      </c>
      <c r="O94" s="17">
        <f>AVERAGE(C94:I95)</f>
        <v>78.171167999999994</v>
      </c>
      <c r="P94" t="s">
        <v>300</v>
      </c>
    </row>
    <row r="95" spans="1:16" ht="15.75" thickBot="1" x14ac:dyDescent="0.3">
      <c r="A95" s="454"/>
    </row>
    <row r="96" spans="1:16" x14ac:dyDescent="0.25">
      <c r="A96" s="454"/>
      <c r="B96" s="159" t="s">
        <v>40</v>
      </c>
      <c r="C96" s="183">
        <v>4000</v>
      </c>
      <c r="D96" s="234"/>
      <c r="E96" s="234"/>
      <c r="F96" s="234"/>
      <c r="G96" s="234"/>
      <c r="H96" s="234"/>
      <c r="I96" s="234"/>
      <c r="J96" s="234"/>
      <c r="K96" s="234"/>
      <c r="L96" s="234"/>
      <c r="M96" s="234"/>
      <c r="N96" s="235"/>
    </row>
    <row r="97" spans="1:16" x14ac:dyDescent="0.25">
      <c r="A97" s="454"/>
      <c r="B97" s="163" t="s">
        <v>5</v>
      </c>
      <c r="C97" s="164" t="s">
        <v>6</v>
      </c>
      <c r="D97" s="164" t="s">
        <v>7</v>
      </c>
      <c r="E97" s="164" t="s">
        <v>8</v>
      </c>
      <c r="F97" s="164" t="s">
        <v>9</v>
      </c>
      <c r="G97" s="164" t="s">
        <v>10</v>
      </c>
      <c r="H97" s="164" t="s">
        <v>11</v>
      </c>
      <c r="I97" s="164" t="s">
        <v>12</v>
      </c>
      <c r="J97" s="164" t="s">
        <v>13</v>
      </c>
      <c r="K97" s="164" t="s">
        <v>14</v>
      </c>
      <c r="L97" s="164" t="s">
        <v>15</v>
      </c>
      <c r="M97" s="164" t="s">
        <v>16</v>
      </c>
      <c r="N97" s="165" t="s">
        <v>17</v>
      </c>
    </row>
    <row r="98" spans="1:16" ht="15.75" thickBot="1" x14ac:dyDescent="0.3">
      <c r="A98" s="454"/>
      <c r="B98" s="236" t="s">
        <v>18</v>
      </c>
      <c r="C98" s="306">
        <f>C14</f>
        <v>1517</v>
      </c>
      <c r="D98" s="307">
        <f t="shared" ref="D98:H98" si="2">D14</f>
        <v>4765</v>
      </c>
      <c r="E98" s="307">
        <f t="shared" si="2"/>
        <v>4350</v>
      </c>
      <c r="F98" s="306">
        <f t="shared" si="2"/>
        <v>1446</v>
      </c>
      <c r="G98" s="408">
        <f t="shared" si="2"/>
        <v>3317</v>
      </c>
      <c r="H98" s="408">
        <f t="shared" si="2"/>
        <v>2386</v>
      </c>
      <c r="I98" s="408"/>
      <c r="J98" s="237"/>
      <c r="K98" s="237"/>
      <c r="L98" s="237"/>
      <c r="M98" s="237"/>
      <c r="N98" s="238">
        <v>0</v>
      </c>
      <c r="O98" s="16">
        <f>AVERAGE(C98:E98)</f>
        <v>3544</v>
      </c>
      <c r="P98" t="s">
        <v>317</v>
      </c>
    </row>
    <row r="99" spans="1:16" ht="15.75" thickBot="1" x14ac:dyDescent="0.3">
      <c r="A99" s="454"/>
      <c r="B99" s="189"/>
      <c r="C99" s="240"/>
      <c r="D99" s="241"/>
      <c r="E99" s="241"/>
      <c r="F99" s="241"/>
      <c r="G99" s="241"/>
      <c r="H99" s="189"/>
      <c r="I99" s="189"/>
      <c r="J99" s="189"/>
      <c r="K99" s="189"/>
      <c r="L99" s="189"/>
      <c r="M99" s="189"/>
      <c r="N99" s="242"/>
    </row>
    <row r="100" spans="1:16" x14ac:dyDescent="0.25">
      <c r="A100" s="454"/>
      <c r="B100" s="159" t="s">
        <v>57</v>
      </c>
      <c r="C100" s="195">
        <v>402391</v>
      </c>
      <c r="D100" s="234"/>
      <c r="E100" s="234"/>
      <c r="F100" s="234"/>
      <c r="G100" s="234"/>
      <c r="H100" s="234"/>
      <c r="I100" s="234"/>
      <c r="J100" s="234"/>
      <c r="K100" s="234"/>
      <c r="L100" s="234"/>
      <c r="M100" s="234"/>
      <c r="N100" s="235"/>
    </row>
    <row r="101" spans="1:16" x14ac:dyDescent="0.25">
      <c r="A101" s="454"/>
      <c r="B101" s="163" t="s">
        <v>5</v>
      </c>
      <c r="C101" s="164" t="s">
        <v>6</v>
      </c>
      <c r="D101" s="164" t="s">
        <v>7</v>
      </c>
      <c r="E101" s="164" t="s">
        <v>8</v>
      </c>
      <c r="F101" s="164" t="s">
        <v>9</v>
      </c>
      <c r="G101" s="164" t="s">
        <v>10</v>
      </c>
      <c r="H101" s="164" t="s">
        <v>11</v>
      </c>
      <c r="I101" s="164" t="s">
        <v>12</v>
      </c>
      <c r="J101" s="164" t="s">
        <v>13</v>
      </c>
      <c r="K101" s="164" t="s">
        <v>14</v>
      </c>
      <c r="L101" s="164" t="s">
        <v>15</v>
      </c>
      <c r="M101" s="164" t="s">
        <v>16</v>
      </c>
      <c r="N101" s="165" t="s">
        <v>17</v>
      </c>
    </row>
    <row r="102" spans="1:16" ht="15.75" thickBot="1" x14ac:dyDescent="0.3">
      <c r="A102" s="454"/>
      <c r="B102" s="236" t="s">
        <v>18</v>
      </c>
      <c r="C102" s="305">
        <f>PROCESSOS!C24</f>
        <v>3354.75</v>
      </c>
      <c r="D102" s="305">
        <f>PROCESSOS!D24</f>
        <v>3354.75</v>
      </c>
      <c r="E102" s="305">
        <f>PROCESSOS!E24</f>
        <v>3354.75</v>
      </c>
      <c r="F102" s="305">
        <f>PROCESSOS!F24</f>
        <v>3354.75</v>
      </c>
      <c r="G102" s="305"/>
      <c r="H102" s="305"/>
      <c r="I102" s="305"/>
      <c r="J102" s="305"/>
      <c r="K102" s="305"/>
      <c r="L102" s="305"/>
      <c r="M102" s="305"/>
      <c r="N102" s="305"/>
      <c r="O102" s="22">
        <f>SUM(C102:N102)</f>
        <v>13419</v>
      </c>
      <c r="P102" t="s">
        <v>441</v>
      </c>
    </row>
    <row r="103" spans="1:16" ht="15.75" thickBot="1" x14ac:dyDescent="0.3">
      <c r="A103" s="454"/>
    </row>
    <row r="104" spans="1:16" x14ac:dyDescent="0.25">
      <c r="A104" s="454"/>
      <c r="B104" s="159" t="s">
        <v>58</v>
      </c>
      <c r="C104" s="195">
        <v>0.38</v>
      </c>
      <c r="D104" s="234"/>
      <c r="E104" s="234"/>
      <c r="F104" s="234"/>
      <c r="G104" s="234"/>
      <c r="H104" s="234"/>
      <c r="I104" s="234"/>
      <c r="J104" s="234"/>
      <c r="K104" s="234"/>
      <c r="L104" s="234"/>
      <c r="M104" s="234"/>
      <c r="N104" s="235"/>
    </row>
    <row r="105" spans="1:16" x14ac:dyDescent="0.25">
      <c r="A105" s="454"/>
      <c r="B105" s="163" t="s">
        <v>5</v>
      </c>
      <c r="C105" s="164" t="s">
        <v>6</v>
      </c>
      <c r="D105" s="164" t="s">
        <v>7</v>
      </c>
      <c r="E105" s="164" t="s">
        <v>8</v>
      </c>
      <c r="F105" s="164" t="s">
        <v>9</v>
      </c>
      <c r="G105" s="164" t="s">
        <v>10</v>
      </c>
      <c r="H105" s="164" t="s">
        <v>11</v>
      </c>
      <c r="I105" s="164" t="s">
        <v>12</v>
      </c>
      <c r="J105" s="164" t="s">
        <v>13</v>
      </c>
      <c r="K105" s="164" t="s">
        <v>14</v>
      </c>
      <c r="L105" s="164" t="s">
        <v>15</v>
      </c>
      <c r="M105" s="164" t="s">
        <v>16</v>
      </c>
      <c r="N105" s="165" t="s">
        <v>17</v>
      </c>
    </row>
    <row r="106" spans="1:16" ht="15.75" thickBot="1" x14ac:dyDescent="0.3">
      <c r="A106" s="455"/>
      <c r="B106" s="236" t="s">
        <v>18</v>
      </c>
      <c r="C106" s="304">
        <f>PROCESSOS!C54</f>
        <v>0.2949366914962207</v>
      </c>
      <c r="D106" s="304">
        <f>PROCESSOS!D54</f>
        <v>0.27</v>
      </c>
      <c r="E106" s="304">
        <f>PROCESSOS!E54</f>
        <v>0.5</v>
      </c>
      <c r="F106" s="313">
        <f>PROCESSOS!F54</f>
        <v>0.28000000000000003</v>
      </c>
      <c r="G106" s="313">
        <f>PROCESSOS!G54</f>
        <v>0.26</v>
      </c>
      <c r="H106" s="313">
        <f>PROCESSOS!H54</f>
        <v>0.48</v>
      </c>
      <c r="I106" s="313">
        <f>PROCESSOS!I54</f>
        <v>0</v>
      </c>
      <c r="J106" s="239"/>
      <c r="K106" s="239"/>
      <c r="L106" s="239"/>
      <c r="M106" s="239"/>
      <c r="N106" s="239"/>
      <c r="O106" s="17">
        <f>AVERAGE(C106:I106)</f>
        <v>0.29784809878517438</v>
      </c>
      <c r="P106" t="s">
        <v>300</v>
      </c>
    </row>
    <row r="107" spans="1:16" ht="15.75" thickBot="1" x14ac:dyDescent="0.3">
      <c r="A107" s="182"/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</row>
    <row r="108" spans="1:16" x14ac:dyDescent="0.25">
      <c r="A108" s="456" t="s">
        <v>59</v>
      </c>
      <c r="B108" s="159" t="s">
        <v>60</v>
      </c>
      <c r="C108" s="183">
        <v>48</v>
      </c>
      <c r="D108" s="243"/>
      <c r="E108" s="243"/>
      <c r="F108" s="243"/>
      <c r="G108" s="243"/>
      <c r="H108" s="243"/>
      <c r="I108" s="243"/>
      <c r="J108" s="243"/>
      <c r="K108" s="243"/>
      <c r="L108" s="243"/>
      <c r="M108" s="243"/>
      <c r="N108" s="244"/>
    </row>
    <row r="109" spans="1:16" x14ac:dyDescent="0.25">
      <c r="A109" s="457"/>
      <c r="B109" s="163" t="s">
        <v>5</v>
      </c>
      <c r="C109" s="164" t="s">
        <v>6</v>
      </c>
      <c r="D109" s="164" t="s">
        <v>7</v>
      </c>
      <c r="E109" s="164" t="s">
        <v>8</v>
      </c>
      <c r="F109" s="164" t="s">
        <v>9</v>
      </c>
      <c r="G109" s="164" t="s">
        <v>10</v>
      </c>
      <c r="H109" s="164" t="s">
        <v>11</v>
      </c>
      <c r="I109" s="164" t="s">
        <v>12</v>
      </c>
      <c r="J109" s="164" t="s">
        <v>13</v>
      </c>
      <c r="K109" s="164" t="s">
        <v>14</v>
      </c>
      <c r="L109" s="164" t="s">
        <v>15</v>
      </c>
      <c r="M109" s="164" t="s">
        <v>16</v>
      </c>
      <c r="N109" s="165" t="s">
        <v>17</v>
      </c>
    </row>
    <row r="110" spans="1:16" ht="15.75" thickBot="1" x14ac:dyDescent="0.3">
      <c r="A110" s="457"/>
      <c r="B110" s="245" t="s">
        <v>18</v>
      </c>
      <c r="C110" s="308">
        <f>ENGENHARIA!C54</f>
        <v>6</v>
      </c>
      <c r="D110" s="308">
        <f>ENGENHARIA!D54</f>
        <v>0</v>
      </c>
      <c r="E110" s="308">
        <f>ENGENHARIA!E54</f>
        <v>0</v>
      </c>
      <c r="F110" s="308">
        <f>ENGENHARIA!F54</f>
        <v>0</v>
      </c>
      <c r="G110" s="308">
        <f>ENGENHARIA!G54</f>
        <v>0</v>
      </c>
      <c r="H110" s="308">
        <f>ENGENHARIA!H54</f>
        <v>4</v>
      </c>
      <c r="I110" s="308">
        <f>ENGENHARIA!I54</f>
        <v>11</v>
      </c>
      <c r="J110" s="246"/>
      <c r="K110" s="246"/>
      <c r="L110" s="246"/>
      <c r="M110" s="246"/>
      <c r="N110" s="247">
        <v>0</v>
      </c>
      <c r="O110" s="16">
        <f>SUM(C110:N110)</f>
        <v>21</v>
      </c>
    </row>
    <row r="111" spans="1:16" ht="15.75" thickBot="1" x14ac:dyDescent="0.3">
      <c r="A111" s="457"/>
    </row>
    <row r="112" spans="1:16" x14ac:dyDescent="0.25">
      <c r="A112" s="457"/>
      <c r="B112" s="159" t="s">
        <v>61</v>
      </c>
      <c r="C112" s="183">
        <v>90</v>
      </c>
      <c r="D112" s="243"/>
      <c r="E112" s="243"/>
      <c r="F112" s="243"/>
      <c r="G112" s="243"/>
      <c r="H112" s="243"/>
      <c r="I112" s="243"/>
      <c r="J112" s="243"/>
      <c r="K112" s="243"/>
      <c r="L112" s="243"/>
      <c r="M112" s="243"/>
      <c r="N112" s="244"/>
    </row>
    <row r="113" spans="1:16" x14ac:dyDescent="0.25">
      <c r="A113" s="457"/>
      <c r="B113" s="163" t="s">
        <v>5</v>
      </c>
      <c r="C113" s="164" t="s">
        <v>6</v>
      </c>
      <c r="D113" s="164" t="s">
        <v>7</v>
      </c>
      <c r="E113" s="164" t="s">
        <v>8</v>
      </c>
      <c r="F113" s="164" t="s">
        <v>9</v>
      </c>
      <c r="G113" s="164" t="s">
        <v>10</v>
      </c>
      <c r="H113" s="164" t="s">
        <v>11</v>
      </c>
      <c r="I113" s="164" t="s">
        <v>12</v>
      </c>
      <c r="J113" s="164" t="s">
        <v>13</v>
      </c>
      <c r="K113" s="164" t="s">
        <v>14</v>
      </c>
      <c r="L113" s="164" t="s">
        <v>15</v>
      </c>
      <c r="M113" s="164" t="s">
        <v>16</v>
      </c>
      <c r="N113" s="165" t="s">
        <v>17</v>
      </c>
    </row>
    <row r="114" spans="1:16" ht="15.75" thickBot="1" x14ac:dyDescent="0.3">
      <c r="A114" s="457"/>
      <c r="B114" s="245" t="s">
        <v>18</v>
      </c>
      <c r="C114" s="246"/>
      <c r="D114" s="246"/>
      <c r="E114" s="246"/>
      <c r="F114" s="246"/>
      <c r="G114" s="246"/>
      <c r="H114" s="246"/>
      <c r="I114" s="246"/>
      <c r="J114" s="246"/>
      <c r="K114" s="246"/>
      <c r="L114" s="246"/>
      <c r="M114" s="246"/>
      <c r="N114" s="247">
        <v>0</v>
      </c>
    </row>
    <row r="115" spans="1:16" ht="15.75" thickBot="1" x14ac:dyDescent="0.3">
      <c r="A115" s="457"/>
    </row>
    <row r="116" spans="1:16" x14ac:dyDescent="0.25">
      <c r="A116" s="457"/>
      <c r="B116" s="159"/>
      <c r="C116" s="195"/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4"/>
    </row>
    <row r="117" spans="1:16" x14ac:dyDescent="0.25">
      <c r="A117" s="457"/>
      <c r="B117" s="163" t="s">
        <v>5</v>
      </c>
      <c r="C117" s="164" t="s">
        <v>6</v>
      </c>
      <c r="D117" s="164" t="s">
        <v>7</v>
      </c>
      <c r="E117" s="164" t="s">
        <v>8</v>
      </c>
      <c r="F117" s="164" t="s">
        <v>9</v>
      </c>
      <c r="G117" s="164" t="s">
        <v>10</v>
      </c>
      <c r="H117" s="164" t="s">
        <v>11</v>
      </c>
      <c r="I117" s="164" t="s">
        <v>12</v>
      </c>
      <c r="J117" s="164" t="s">
        <v>13</v>
      </c>
      <c r="K117" s="164" t="s">
        <v>14</v>
      </c>
      <c r="L117" s="164" t="s">
        <v>15</v>
      </c>
      <c r="M117" s="164" t="s">
        <v>16</v>
      </c>
      <c r="N117" s="165" t="s">
        <v>17</v>
      </c>
    </row>
    <row r="118" spans="1:16" ht="15.75" thickBot="1" x14ac:dyDescent="0.3">
      <c r="A118" s="457"/>
      <c r="B118" s="245" t="s">
        <v>18</v>
      </c>
      <c r="C118" s="246"/>
      <c r="D118" s="246"/>
      <c r="E118" s="246"/>
      <c r="F118" s="246"/>
      <c r="G118" s="246"/>
      <c r="H118" s="246"/>
      <c r="I118" s="246"/>
      <c r="J118" s="246"/>
      <c r="K118" s="246"/>
      <c r="L118" s="246"/>
      <c r="M118" s="246"/>
      <c r="N118" s="247">
        <v>0</v>
      </c>
    </row>
    <row r="119" spans="1:16" ht="15.75" thickBot="1" x14ac:dyDescent="0.3">
      <c r="A119" s="457"/>
    </row>
    <row r="120" spans="1:16" x14ac:dyDescent="0.25">
      <c r="A120" s="457"/>
      <c r="B120" s="159" t="s">
        <v>40</v>
      </c>
      <c r="C120" s="216">
        <v>4000</v>
      </c>
      <c r="D120" s="243"/>
      <c r="E120" s="243"/>
      <c r="F120" s="243"/>
      <c r="G120" s="243"/>
      <c r="H120" s="243"/>
      <c r="I120" s="243"/>
      <c r="J120" s="243"/>
      <c r="K120" s="243"/>
      <c r="L120" s="243"/>
      <c r="M120" s="243"/>
      <c r="N120" s="244"/>
    </row>
    <row r="121" spans="1:16" x14ac:dyDescent="0.25">
      <c r="A121" s="457"/>
      <c r="B121" s="163" t="s">
        <v>5</v>
      </c>
      <c r="C121" s="164" t="s">
        <v>6</v>
      </c>
      <c r="D121" s="164" t="s">
        <v>7</v>
      </c>
      <c r="E121" s="164" t="s">
        <v>8</v>
      </c>
      <c r="F121" s="164" t="s">
        <v>9</v>
      </c>
      <c r="G121" s="164" t="s">
        <v>10</v>
      </c>
      <c r="H121" s="164" t="s">
        <v>11</v>
      </c>
      <c r="I121" s="164" t="s">
        <v>12</v>
      </c>
      <c r="J121" s="164" t="s">
        <v>13</v>
      </c>
      <c r="K121" s="164" t="s">
        <v>14</v>
      </c>
      <c r="L121" s="164" t="s">
        <v>15</v>
      </c>
      <c r="M121" s="164" t="s">
        <v>16</v>
      </c>
      <c r="N121" s="165" t="s">
        <v>17</v>
      </c>
    </row>
    <row r="122" spans="1:16" ht="15.75" thickBot="1" x14ac:dyDescent="0.3">
      <c r="A122" s="457"/>
      <c r="B122" s="245" t="s">
        <v>18</v>
      </c>
      <c r="C122" s="308">
        <f>C50</f>
        <v>3030</v>
      </c>
      <c r="D122" s="309">
        <f t="shared" ref="D122:J122" si="3">D46</f>
        <v>4765</v>
      </c>
      <c r="E122" s="309">
        <f t="shared" si="3"/>
        <v>4350</v>
      </c>
      <c r="F122" s="309">
        <f t="shared" si="3"/>
        <v>1446</v>
      </c>
      <c r="G122" s="248">
        <f t="shared" si="3"/>
        <v>3317</v>
      </c>
      <c r="H122" s="248">
        <f t="shared" si="3"/>
        <v>2386</v>
      </c>
      <c r="I122" s="415">
        <f t="shared" si="3"/>
        <v>0</v>
      </c>
      <c r="J122" s="248">
        <f t="shared" si="3"/>
        <v>0</v>
      </c>
      <c r="K122" s="246"/>
      <c r="L122" s="246"/>
      <c r="M122" s="246"/>
      <c r="N122" s="247">
        <v>0</v>
      </c>
      <c r="O122" s="16">
        <f>AVERAGE(C122:I122)</f>
        <v>2756.2857142857142</v>
      </c>
      <c r="P122" t="s">
        <v>317</v>
      </c>
    </row>
    <row r="123" spans="1:16" ht="15.75" thickBot="1" x14ac:dyDescent="0.3">
      <c r="A123" s="457"/>
    </row>
    <row r="124" spans="1:16" x14ac:dyDescent="0.25">
      <c r="A124" s="457"/>
      <c r="B124" s="159" t="s">
        <v>62</v>
      </c>
      <c r="C124" s="195">
        <v>406115</v>
      </c>
      <c r="D124" s="243"/>
      <c r="E124" s="243"/>
      <c r="F124" s="243"/>
      <c r="G124" s="243"/>
      <c r="H124" s="243"/>
      <c r="I124" s="243"/>
      <c r="J124" s="243"/>
      <c r="K124" s="243"/>
      <c r="L124" s="243"/>
      <c r="M124" s="243"/>
      <c r="N124" s="244"/>
    </row>
    <row r="125" spans="1:16" x14ac:dyDescent="0.25">
      <c r="A125" s="457"/>
      <c r="B125" s="163" t="s">
        <v>5</v>
      </c>
      <c r="C125" s="164" t="s">
        <v>6</v>
      </c>
      <c r="D125" s="164" t="s">
        <v>7</v>
      </c>
      <c r="E125" s="164" t="s">
        <v>8</v>
      </c>
      <c r="F125" s="164" t="s">
        <v>9</v>
      </c>
      <c r="G125" s="164" t="s">
        <v>10</v>
      </c>
      <c r="H125" s="164" t="s">
        <v>11</v>
      </c>
      <c r="I125" s="164" t="s">
        <v>12</v>
      </c>
      <c r="J125" s="164" t="s">
        <v>13</v>
      </c>
      <c r="K125" s="164" t="s">
        <v>14</v>
      </c>
      <c r="L125" s="164" t="s">
        <v>15</v>
      </c>
      <c r="M125" s="164" t="s">
        <v>16</v>
      </c>
      <c r="N125" s="165" t="s">
        <v>17</v>
      </c>
    </row>
    <row r="126" spans="1:16" ht="15.75" thickBot="1" x14ac:dyDescent="0.3">
      <c r="A126" s="457"/>
      <c r="B126" s="245" t="s">
        <v>18</v>
      </c>
      <c r="C126" s="334">
        <f>ENGENHARIA!C25</f>
        <v>0</v>
      </c>
      <c r="D126" s="334">
        <f>ENGENHARIA!D25</f>
        <v>0</v>
      </c>
      <c r="E126" s="334">
        <f>ENGENHARIA!E25</f>
        <v>0</v>
      </c>
      <c r="F126" s="335">
        <v>0</v>
      </c>
      <c r="G126" s="335">
        <v>0</v>
      </c>
      <c r="H126" s="335">
        <v>0</v>
      </c>
      <c r="I126" s="335">
        <v>0</v>
      </c>
      <c r="J126" s="246"/>
      <c r="K126" s="246"/>
      <c r="L126" s="246"/>
      <c r="M126" s="246"/>
      <c r="N126" s="247"/>
    </row>
    <row r="127" spans="1:16" ht="15.75" thickBot="1" x14ac:dyDescent="0.3">
      <c r="A127" s="457"/>
    </row>
    <row r="128" spans="1:16" x14ac:dyDescent="0.25">
      <c r="A128" s="457"/>
      <c r="B128" s="159" t="s">
        <v>63</v>
      </c>
      <c r="C128" s="249"/>
      <c r="D128" s="243"/>
      <c r="E128" s="243"/>
      <c r="F128" s="243"/>
      <c r="G128" s="243"/>
      <c r="H128" s="243"/>
      <c r="I128" s="243"/>
      <c r="J128" s="243"/>
      <c r="K128" s="243"/>
      <c r="L128" s="183" t="s">
        <v>64</v>
      </c>
      <c r="M128" s="243"/>
      <c r="N128" s="244"/>
    </row>
    <row r="129" spans="1:14" x14ac:dyDescent="0.25">
      <c r="A129" s="457"/>
      <c r="B129" s="163" t="s">
        <v>5</v>
      </c>
      <c r="C129" s="164" t="s">
        <v>6</v>
      </c>
      <c r="D129" s="164" t="s">
        <v>7</v>
      </c>
      <c r="E129" s="164" t="s">
        <v>8</v>
      </c>
      <c r="F129" s="164" t="s">
        <v>9</v>
      </c>
      <c r="G129" s="164" t="s">
        <v>10</v>
      </c>
      <c r="H129" s="164" t="s">
        <v>11</v>
      </c>
      <c r="I129" s="164" t="s">
        <v>12</v>
      </c>
      <c r="J129" s="164" t="s">
        <v>13</v>
      </c>
      <c r="K129" s="164" t="s">
        <v>14</v>
      </c>
      <c r="L129" s="164" t="s">
        <v>15</v>
      </c>
      <c r="M129" s="164" t="s">
        <v>16</v>
      </c>
      <c r="N129" s="165" t="s">
        <v>17</v>
      </c>
    </row>
    <row r="130" spans="1:14" ht="15.75" thickBot="1" x14ac:dyDescent="0.3">
      <c r="A130" s="458"/>
      <c r="B130" s="245" t="s">
        <v>18</v>
      </c>
      <c r="C130" s="333">
        <v>0</v>
      </c>
      <c r="D130" s="333">
        <v>0</v>
      </c>
      <c r="E130" s="333">
        <v>0</v>
      </c>
      <c r="F130" s="333">
        <v>0</v>
      </c>
      <c r="G130" s="333">
        <v>0</v>
      </c>
      <c r="H130" s="333">
        <v>0</v>
      </c>
      <c r="I130" s="333">
        <v>0</v>
      </c>
      <c r="J130" s="246"/>
      <c r="K130" s="246"/>
      <c r="L130" s="310"/>
      <c r="M130" s="246"/>
      <c r="N130" s="247">
        <v>0</v>
      </c>
    </row>
    <row r="131" spans="1:14" ht="15.75" thickBot="1" x14ac:dyDescent="0.3">
      <c r="A131" s="182"/>
      <c r="B131" s="182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</row>
    <row r="132" spans="1:14" x14ac:dyDescent="0.25">
      <c r="A132" s="459" t="s">
        <v>65</v>
      </c>
      <c r="B132" s="159" t="s">
        <v>66</v>
      </c>
      <c r="C132" s="183">
        <v>6</v>
      </c>
      <c r="D132" s="250"/>
      <c r="E132" s="250"/>
      <c r="F132" s="250"/>
      <c r="G132" s="250"/>
      <c r="H132" s="250"/>
      <c r="I132" s="250"/>
      <c r="J132" s="250"/>
      <c r="K132" s="250"/>
      <c r="L132" s="250"/>
      <c r="M132" s="250"/>
      <c r="N132" s="251"/>
    </row>
    <row r="133" spans="1:14" x14ac:dyDescent="0.25">
      <c r="A133" s="460"/>
      <c r="B133" s="163" t="s">
        <v>5</v>
      </c>
      <c r="C133" s="164" t="s">
        <v>6</v>
      </c>
      <c r="D133" s="164" t="s">
        <v>7</v>
      </c>
      <c r="E133" s="164" t="s">
        <v>8</v>
      </c>
      <c r="F133" s="164" t="s">
        <v>9</v>
      </c>
      <c r="G133" s="164" t="s">
        <v>10</v>
      </c>
      <c r="H133" s="164" t="s">
        <v>11</v>
      </c>
      <c r="I133" s="164" t="s">
        <v>12</v>
      </c>
      <c r="J133" s="164" t="s">
        <v>13</v>
      </c>
      <c r="K133" s="164" t="s">
        <v>14</v>
      </c>
      <c r="L133" s="164" t="s">
        <v>15</v>
      </c>
      <c r="M133" s="164" t="s">
        <v>16</v>
      </c>
      <c r="N133" s="165" t="s">
        <v>17</v>
      </c>
    </row>
    <row r="134" spans="1:14" ht="15.75" thickBot="1" x14ac:dyDescent="0.3">
      <c r="A134" s="460"/>
      <c r="B134" s="252" t="s">
        <v>18</v>
      </c>
      <c r="C134" s="253"/>
      <c r="D134" s="253"/>
      <c r="E134" s="253"/>
      <c r="F134" s="253"/>
      <c r="G134" s="253"/>
      <c r="H134" s="253"/>
      <c r="I134" s="253"/>
      <c r="J134" s="253"/>
      <c r="K134" s="253"/>
      <c r="L134" s="253"/>
      <c r="M134" s="253"/>
      <c r="N134" s="254">
        <v>0</v>
      </c>
    </row>
    <row r="135" spans="1:14" ht="15.75" thickBot="1" x14ac:dyDescent="0.3">
      <c r="A135" s="460"/>
    </row>
    <row r="136" spans="1:14" x14ac:dyDescent="0.25">
      <c r="A136" s="460"/>
      <c r="B136" s="159" t="s">
        <v>67</v>
      </c>
      <c r="C136" s="183">
        <v>100</v>
      </c>
      <c r="D136" s="250"/>
      <c r="E136" s="250"/>
      <c r="F136" s="250"/>
      <c r="G136" s="250"/>
      <c r="H136" s="250"/>
      <c r="I136" s="250"/>
      <c r="J136" s="250"/>
      <c r="K136" s="250"/>
      <c r="L136" s="250"/>
      <c r="M136" s="250"/>
      <c r="N136" s="251"/>
    </row>
    <row r="137" spans="1:14" x14ac:dyDescent="0.25">
      <c r="A137" s="460"/>
      <c r="B137" s="163" t="s">
        <v>5</v>
      </c>
      <c r="C137" s="164" t="s">
        <v>6</v>
      </c>
      <c r="D137" s="164" t="s">
        <v>7</v>
      </c>
      <c r="E137" s="164" t="s">
        <v>8</v>
      </c>
      <c r="F137" s="164" t="s">
        <v>9</v>
      </c>
      <c r="G137" s="164" t="s">
        <v>10</v>
      </c>
      <c r="H137" s="164" t="s">
        <v>11</v>
      </c>
      <c r="I137" s="164" t="s">
        <v>12</v>
      </c>
      <c r="J137" s="164" t="s">
        <v>13</v>
      </c>
      <c r="K137" s="164" t="s">
        <v>14</v>
      </c>
      <c r="L137" s="164" t="s">
        <v>15</v>
      </c>
      <c r="M137" s="164" t="s">
        <v>16</v>
      </c>
      <c r="N137" s="165" t="s">
        <v>17</v>
      </c>
    </row>
    <row r="138" spans="1:14" ht="15.75" thickBot="1" x14ac:dyDescent="0.3">
      <c r="A138" s="460"/>
      <c r="B138" s="252" t="s">
        <v>18</v>
      </c>
      <c r="C138" s="253"/>
      <c r="D138" s="253"/>
      <c r="E138" s="253"/>
      <c r="F138" s="253"/>
      <c r="G138" s="253"/>
      <c r="H138" s="253"/>
      <c r="I138" s="253"/>
      <c r="J138" s="253"/>
      <c r="K138" s="253"/>
      <c r="L138" s="253"/>
      <c r="M138" s="253"/>
      <c r="N138" s="254">
        <v>0</v>
      </c>
    </row>
    <row r="139" spans="1:14" ht="15.75" thickBot="1" x14ac:dyDescent="0.3">
      <c r="A139" s="460"/>
    </row>
    <row r="140" spans="1:14" x14ac:dyDescent="0.25">
      <c r="A140" s="460"/>
      <c r="B140" s="159" t="s">
        <v>68</v>
      </c>
      <c r="C140" s="183">
        <v>95</v>
      </c>
      <c r="D140" s="250"/>
      <c r="E140" s="250"/>
      <c r="F140" s="250"/>
      <c r="G140" s="250"/>
      <c r="H140" s="250"/>
      <c r="I140" s="250"/>
      <c r="J140" s="250"/>
      <c r="K140" s="250"/>
      <c r="L140" s="250"/>
      <c r="M140" s="250"/>
      <c r="N140" s="251"/>
    </row>
    <row r="141" spans="1:14" x14ac:dyDescent="0.25">
      <c r="A141" s="460"/>
      <c r="B141" s="163" t="s">
        <v>5</v>
      </c>
      <c r="C141" s="164" t="s">
        <v>6</v>
      </c>
      <c r="D141" s="164" t="s">
        <v>7</v>
      </c>
      <c r="E141" s="164" t="s">
        <v>8</v>
      </c>
      <c r="F141" s="164" t="s">
        <v>9</v>
      </c>
      <c r="G141" s="164" t="s">
        <v>10</v>
      </c>
      <c r="H141" s="164" t="s">
        <v>11</v>
      </c>
      <c r="I141" s="164" t="s">
        <v>12</v>
      </c>
      <c r="J141" s="164" t="s">
        <v>13</v>
      </c>
      <c r="K141" s="164" t="s">
        <v>14</v>
      </c>
      <c r="L141" s="164" t="s">
        <v>15</v>
      </c>
      <c r="M141" s="164" t="s">
        <v>16</v>
      </c>
      <c r="N141" s="165" t="s">
        <v>17</v>
      </c>
    </row>
    <row r="142" spans="1:14" ht="15.75" thickBot="1" x14ac:dyDescent="0.3">
      <c r="A142" s="461"/>
      <c r="B142" s="252" t="s">
        <v>18</v>
      </c>
      <c r="C142" s="253"/>
      <c r="D142" s="253"/>
      <c r="E142" s="253"/>
      <c r="F142" s="253"/>
      <c r="G142" s="253"/>
      <c r="H142" s="253"/>
      <c r="I142" s="253"/>
      <c r="J142" s="253"/>
      <c r="K142" s="253"/>
      <c r="L142" s="253"/>
      <c r="M142" s="253"/>
      <c r="N142" s="254">
        <v>0</v>
      </c>
    </row>
    <row r="143" spans="1:14" ht="15.75" thickBot="1" x14ac:dyDescent="0.3">
      <c r="A143" s="182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</row>
    <row r="144" spans="1:14" x14ac:dyDescent="0.25">
      <c r="A144" s="435" t="s">
        <v>69</v>
      </c>
      <c r="B144" s="159" t="s">
        <v>70</v>
      </c>
      <c r="C144" s="420">
        <v>1800000</v>
      </c>
      <c r="D144" s="255"/>
      <c r="E144" s="255"/>
      <c r="F144" s="255"/>
      <c r="G144" s="255"/>
      <c r="H144" s="255"/>
      <c r="I144" s="255"/>
      <c r="J144" s="255"/>
      <c r="K144" s="255"/>
      <c r="L144" s="255"/>
      <c r="M144" s="255"/>
      <c r="N144" s="256"/>
    </row>
    <row r="145" spans="1:16" x14ac:dyDescent="0.25">
      <c r="A145" s="436"/>
      <c r="B145" s="163" t="s">
        <v>5</v>
      </c>
      <c r="C145" s="164" t="s">
        <v>6</v>
      </c>
      <c r="D145" s="164" t="s">
        <v>7</v>
      </c>
      <c r="E145" s="164" t="s">
        <v>8</v>
      </c>
      <c r="F145" s="164" t="s">
        <v>9</v>
      </c>
      <c r="G145" s="164" t="s">
        <v>10</v>
      </c>
      <c r="H145" s="164" t="s">
        <v>11</v>
      </c>
      <c r="I145" s="164" t="s">
        <v>12</v>
      </c>
      <c r="J145" s="164" t="s">
        <v>13</v>
      </c>
      <c r="K145" s="164" t="s">
        <v>14</v>
      </c>
      <c r="L145" s="164" t="s">
        <v>15</v>
      </c>
      <c r="M145" s="164" t="s">
        <v>16</v>
      </c>
      <c r="N145" s="165" t="s">
        <v>17</v>
      </c>
    </row>
    <row r="146" spans="1:16" ht="15.75" thickBot="1" x14ac:dyDescent="0.3">
      <c r="A146" s="436"/>
      <c r="B146" s="257" t="s">
        <v>18</v>
      </c>
      <c r="C146" s="421">
        <f>COMERCIAL!C25</f>
        <v>128094.34</v>
      </c>
      <c r="D146" s="421">
        <f>COMERCIAL!D25</f>
        <v>104918</v>
      </c>
      <c r="E146" s="421">
        <f>COMERCIAL!E25</f>
        <v>162270</v>
      </c>
      <c r="F146" s="421">
        <f>COMERCIAL!F25</f>
        <v>164480.12</v>
      </c>
      <c r="G146" s="421">
        <f>COMERCIAL!G25</f>
        <v>159330</v>
      </c>
      <c r="H146" s="421">
        <f>COMERCIAL!H25</f>
        <v>77074.73</v>
      </c>
      <c r="I146" s="421">
        <f>COMERCIAL!I25</f>
        <v>186693.33</v>
      </c>
      <c r="J146" s="421"/>
      <c r="K146" s="421"/>
      <c r="L146" s="421"/>
      <c r="M146" s="421"/>
      <c r="N146" s="422">
        <v>0</v>
      </c>
      <c r="O146" s="423">
        <f>SUM(C146:N146)</f>
        <v>982860.5199999999</v>
      </c>
      <c r="P146" s="27">
        <f>O146/C144</f>
        <v>0.54603362222222218</v>
      </c>
    </row>
    <row r="147" spans="1:16" ht="15.75" thickBot="1" x14ac:dyDescent="0.3">
      <c r="A147" s="436"/>
    </row>
    <row r="148" spans="1:16" x14ac:dyDescent="0.25">
      <c r="A148" s="436"/>
      <c r="B148" s="159" t="s">
        <v>71</v>
      </c>
      <c r="C148" s="183">
        <v>800</v>
      </c>
      <c r="D148" s="255"/>
      <c r="E148" s="255"/>
      <c r="F148" s="255"/>
      <c r="G148" s="255"/>
      <c r="H148" s="255"/>
      <c r="I148" s="255"/>
      <c r="J148" s="255"/>
      <c r="K148" s="255"/>
      <c r="L148" s="255"/>
      <c r="M148" s="255"/>
      <c r="N148" s="256"/>
    </row>
    <row r="149" spans="1:16" x14ac:dyDescent="0.25">
      <c r="A149" s="436"/>
      <c r="B149" s="163" t="s">
        <v>5</v>
      </c>
      <c r="C149" s="164" t="s">
        <v>6</v>
      </c>
      <c r="D149" s="164" t="s">
        <v>7</v>
      </c>
      <c r="E149" s="164" t="s">
        <v>8</v>
      </c>
      <c r="F149" s="164" t="s">
        <v>9</v>
      </c>
      <c r="G149" s="164" t="s">
        <v>10</v>
      </c>
      <c r="H149" s="164" t="s">
        <v>11</v>
      </c>
      <c r="I149" s="164" t="s">
        <v>12</v>
      </c>
      <c r="J149" s="164" t="s">
        <v>13</v>
      </c>
      <c r="K149" s="164" t="s">
        <v>14</v>
      </c>
      <c r="L149" s="164" t="s">
        <v>15</v>
      </c>
      <c r="M149" s="164" t="s">
        <v>16</v>
      </c>
      <c r="N149" s="165" t="s">
        <v>17</v>
      </c>
    </row>
    <row r="150" spans="1:16" ht="15.75" thickBot="1" x14ac:dyDescent="0.3">
      <c r="A150" s="436"/>
      <c r="B150" s="257" t="s">
        <v>18</v>
      </c>
      <c r="C150" s="341">
        <f>QUALIDADE!V95</f>
        <v>6060</v>
      </c>
      <c r="D150" s="341">
        <f>QUALIDADE!W95</f>
        <v>19594</v>
      </c>
      <c r="E150" s="341">
        <f>QUALIDADE!X95</f>
        <v>5811</v>
      </c>
      <c r="F150" s="342">
        <f>QUALIDADE!Y95</f>
        <v>8742</v>
      </c>
      <c r="G150" s="342">
        <f>QUALIDADE!Z95</f>
        <v>13167.013167013167</v>
      </c>
      <c r="H150" s="342">
        <f>QUALIDADE!AA95</f>
        <v>3115</v>
      </c>
      <c r="I150" s="342">
        <f>QUALIDADE!AB95</f>
        <v>11997</v>
      </c>
      <c r="J150" s="258"/>
      <c r="K150" s="258"/>
      <c r="L150" s="258"/>
      <c r="M150" s="258"/>
      <c r="N150" s="259">
        <v>0</v>
      </c>
      <c r="O150" s="16">
        <f>AVERAGE(C150:E150)</f>
        <v>10488.333333333334</v>
      </c>
    </row>
    <row r="151" spans="1:16" ht="15.75" thickBot="1" x14ac:dyDescent="0.3">
      <c r="A151" s="436"/>
    </row>
    <row r="152" spans="1:16" x14ac:dyDescent="0.25">
      <c r="A152" s="436"/>
      <c r="B152" s="159" t="s">
        <v>72</v>
      </c>
      <c r="C152" s="340"/>
      <c r="D152" s="255"/>
      <c r="E152" s="255"/>
      <c r="F152" s="255"/>
      <c r="G152" s="255"/>
      <c r="H152" s="255"/>
      <c r="I152" s="255"/>
      <c r="J152" s="255"/>
      <c r="K152" s="255"/>
      <c r="L152" s="255"/>
      <c r="M152" s="255"/>
      <c r="N152" s="256"/>
    </row>
    <row r="153" spans="1:16" x14ac:dyDescent="0.25">
      <c r="A153" s="436"/>
      <c r="B153" s="163" t="s">
        <v>5</v>
      </c>
      <c r="C153" s="164" t="s">
        <v>6</v>
      </c>
      <c r="D153" s="164" t="s">
        <v>7</v>
      </c>
      <c r="E153" s="164" t="s">
        <v>8</v>
      </c>
      <c r="F153" s="164" t="s">
        <v>9</v>
      </c>
      <c r="G153" s="164" t="s">
        <v>10</v>
      </c>
      <c r="H153" s="164" t="s">
        <v>11</v>
      </c>
      <c r="I153" s="164" t="s">
        <v>12</v>
      </c>
      <c r="J153" s="164" t="s">
        <v>13</v>
      </c>
      <c r="K153" s="164" t="s">
        <v>14</v>
      </c>
      <c r="L153" s="164" t="s">
        <v>15</v>
      </c>
      <c r="M153" s="164" t="s">
        <v>16</v>
      </c>
      <c r="N153" s="165" t="s">
        <v>17</v>
      </c>
    </row>
    <row r="154" spans="1:16" ht="15.75" thickBot="1" x14ac:dyDescent="0.3">
      <c r="A154" s="437"/>
      <c r="B154" s="257" t="s">
        <v>18</v>
      </c>
      <c r="C154" s="258"/>
      <c r="D154" s="258"/>
      <c r="E154" s="258"/>
      <c r="F154" s="258"/>
      <c r="G154" s="258"/>
      <c r="H154" s="258"/>
      <c r="I154" s="258"/>
      <c r="J154" s="258"/>
      <c r="K154" s="258"/>
      <c r="L154" s="258"/>
      <c r="M154" s="258"/>
      <c r="N154" s="259">
        <v>0</v>
      </c>
    </row>
    <row r="155" spans="1:16" ht="15.75" thickBot="1" x14ac:dyDescent="0.3">
      <c r="A155" s="182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</row>
    <row r="156" spans="1:16" ht="30" customHeight="1" x14ac:dyDescent="0.25">
      <c r="A156" s="462" t="s">
        <v>73</v>
      </c>
      <c r="B156" s="465" t="s">
        <v>74</v>
      </c>
      <c r="C156" s="469" t="s">
        <v>75</v>
      </c>
      <c r="D156" s="470"/>
      <c r="E156" s="470"/>
      <c r="F156" s="470"/>
      <c r="G156" s="470"/>
      <c r="H156" s="470"/>
      <c r="I156" s="470"/>
      <c r="J156" s="470"/>
      <c r="K156" s="470"/>
      <c r="L156" s="470"/>
      <c r="M156" s="470"/>
      <c r="N156" s="471"/>
    </row>
    <row r="157" spans="1:16" ht="15.75" thickBot="1" x14ac:dyDescent="0.3">
      <c r="A157" s="463"/>
      <c r="B157" s="466"/>
      <c r="C157" s="163" t="s">
        <v>6</v>
      </c>
      <c r="D157" s="164" t="s">
        <v>7</v>
      </c>
      <c r="E157" s="164" t="s">
        <v>8</v>
      </c>
      <c r="F157" s="164" t="s">
        <v>9</v>
      </c>
      <c r="G157" s="164" t="s">
        <v>10</v>
      </c>
      <c r="H157" s="164" t="s">
        <v>11</v>
      </c>
      <c r="I157" s="164" t="s">
        <v>12</v>
      </c>
      <c r="J157" s="164" t="s">
        <v>13</v>
      </c>
      <c r="K157" s="164" t="s">
        <v>14</v>
      </c>
      <c r="L157" s="164" t="s">
        <v>15</v>
      </c>
      <c r="M157" s="164" t="s">
        <v>16</v>
      </c>
      <c r="N157" s="165" t="s">
        <v>17</v>
      </c>
      <c r="P157" s="331" t="s">
        <v>76</v>
      </c>
    </row>
    <row r="158" spans="1:16" x14ac:dyDescent="0.25">
      <c r="A158" s="463"/>
      <c r="B158" s="260" t="s">
        <v>77</v>
      </c>
      <c r="C158" s="285">
        <f>'ESG - Energia Eletrica'!D31</f>
        <v>0.31723536190528456</v>
      </c>
      <c r="D158" s="285">
        <f>'ESG - Energia Eletrica'!E31</f>
        <v>0.47322468004937313</v>
      </c>
      <c r="E158" s="285">
        <f>'ESG - Energia Eletrica'!F31</f>
        <v>0.40493499852797615</v>
      </c>
      <c r="F158" s="285">
        <f>'ESG - Energia Eletrica'!G31</f>
        <v>0.44751342872082522</v>
      </c>
      <c r="G158" s="285">
        <f>'ESG - Energia Eletrica'!H31</f>
        <v>0.46277211420564024</v>
      </c>
      <c r="H158" s="285">
        <f>'ESG - Energia Eletrica'!I31</f>
        <v>0.68380270761986306</v>
      </c>
      <c r="I158" s="285">
        <f>'ESG - Energia Eletrica'!J31</f>
        <v>4.0408374063212769</v>
      </c>
      <c r="J158" s="261"/>
      <c r="K158" s="261"/>
      <c r="L158" s="261"/>
      <c r="M158" s="261"/>
      <c r="N158" s="262"/>
      <c r="O158" s="17">
        <f>AVERAGE(C158:E158)</f>
        <v>0.39846501349421132</v>
      </c>
      <c r="P158">
        <v>1</v>
      </c>
    </row>
    <row r="159" spans="1:16" x14ac:dyDescent="0.25">
      <c r="A159" s="463"/>
      <c r="B159" s="263" t="s">
        <v>78</v>
      </c>
      <c r="C159" s="286">
        <f>'ESG - Agua'!D31</f>
        <v>5.2191735718597379E-2</v>
      </c>
      <c r="D159" s="286">
        <f>'ESG - Agua'!E31</f>
        <v>0.12503410641200546</v>
      </c>
      <c r="E159" s="286">
        <f>'ESG - Agua'!F31</f>
        <v>7.8422610285572611E-2</v>
      </c>
      <c r="F159" s="286">
        <f>'ESG - Agua'!G31</f>
        <v>7.2974283405428525E-2</v>
      </c>
      <c r="G159" s="286">
        <f>'ESG - Agua'!H31</f>
        <v>3.9452155625657202E-2</v>
      </c>
      <c r="H159" s="286">
        <f>'ESG - Agua'!I31</f>
        <v>3.8174764554794516E-2</v>
      </c>
      <c r="I159" s="286">
        <f>'ESG - Agua'!J31</f>
        <v>0.31481915933528837</v>
      </c>
      <c r="J159" s="264"/>
      <c r="K159" s="264"/>
      <c r="L159" s="264"/>
      <c r="M159" s="264"/>
      <c r="N159" s="265"/>
      <c r="O159" s="17">
        <f>AVERAGE(C159:E159)</f>
        <v>8.5216150805391813E-2</v>
      </c>
      <c r="P159">
        <v>2</v>
      </c>
    </row>
    <row r="160" spans="1:16" x14ac:dyDescent="0.25">
      <c r="A160" s="463"/>
      <c r="B160" s="266" t="s">
        <v>79</v>
      </c>
      <c r="C160" s="284">
        <f>'ESG - Resíduos'!D31</f>
        <v>6.1735169840311695E-2</v>
      </c>
      <c r="D160" s="284">
        <f>'ESG - Resíduos'!E31</f>
        <v>6.1735169840311695E-2</v>
      </c>
      <c r="E160" s="284">
        <f>'ESG - Resíduos'!F31</f>
        <v>6.1735169840311695E-2</v>
      </c>
      <c r="F160" s="284">
        <f>'ESG - Resíduos'!G31</f>
        <v>5.7042353947806247E-2</v>
      </c>
      <c r="G160" s="284">
        <f>'ESG - Resíduos'!H31</f>
        <v>0</v>
      </c>
      <c r="H160" s="284">
        <f>'ESG - Resíduos'!I31</f>
        <v>8.8291952054794523E-2</v>
      </c>
      <c r="I160" s="284">
        <f>'ESG - Resíduos'!J31</f>
        <v>0</v>
      </c>
      <c r="J160" s="267"/>
      <c r="K160" s="267"/>
      <c r="L160" s="267"/>
      <c r="M160" s="267"/>
      <c r="N160" s="268">
        <v>0</v>
      </c>
      <c r="O160" s="17">
        <f>AVERAGE(C160:E160)</f>
        <v>6.1735169840311695E-2</v>
      </c>
      <c r="P160">
        <v>3</v>
      </c>
    </row>
    <row r="161" spans="1:21" x14ac:dyDescent="0.25">
      <c r="A161" s="463"/>
      <c r="B161" s="269" t="s">
        <v>80</v>
      </c>
      <c r="C161" s="287">
        <f>'ESG - Resíduos'!D31</f>
        <v>6.1735169840311695E-2</v>
      </c>
      <c r="D161" s="287">
        <f>'ESG - Resíduos'!E31</f>
        <v>6.1735169840311695E-2</v>
      </c>
      <c r="E161" s="287">
        <f>'ESG - Resíduos'!F31</f>
        <v>6.1735169840311695E-2</v>
      </c>
      <c r="F161" s="287">
        <f>'ESG - Resíduos'!G31</f>
        <v>5.7042353947806247E-2</v>
      </c>
      <c r="G161" s="287">
        <f>'ESG - Resíduos'!H31</f>
        <v>0</v>
      </c>
      <c r="H161" s="287">
        <f>'ESG - Resíduos'!I31</f>
        <v>8.8291952054794523E-2</v>
      </c>
      <c r="I161" s="287">
        <f>'ESG - Resíduos'!J31</f>
        <v>0</v>
      </c>
      <c r="J161" s="270"/>
      <c r="K161" s="270"/>
      <c r="L161" s="270"/>
      <c r="M161" s="270"/>
      <c r="N161" s="271"/>
      <c r="O161" s="17">
        <f>AVERAGE(C161:E161)</f>
        <v>6.1735169840311695E-2</v>
      </c>
      <c r="P161">
        <v>4</v>
      </c>
    </row>
    <row r="162" spans="1:21" x14ac:dyDescent="0.25">
      <c r="A162" s="463"/>
      <c r="B162" s="266"/>
      <c r="C162" s="267"/>
      <c r="D162" s="267"/>
      <c r="E162" s="267"/>
      <c r="F162" s="267"/>
      <c r="G162" s="267"/>
      <c r="H162" s="267"/>
      <c r="I162" s="267"/>
      <c r="J162" s="267"/>
      <c r="K162" s="267"/>
      <c r="L162" s="267"/>
      <c r="M162" s="267"/>
      <c r="N162" s="268"/>
      <c r="O162" s="17"/>
    </row>
    <row r="163" spans="1:21" ht="15.75" thickBot="1" x14ac:dyDescent="0.3">
      <c r="A163" s="463"/>
      <c r="B163" s="272"/>
      <c r="C163" s="273"/>
      <c r="D163" s="273"/>
      <c r="E163" s="273"/>
      <c r="F163" s="273"/>
      <c r="G163" s="273"/>
      <c r="H163" s="273"/>
      <c r="I163" s="273"/>
      <c r="J163" s="273"/>
      <c r="K163" s="273"/>
      <c r="L163" s="273"/>
      <c r="M163" s="273"/>
      <c r="N163" s="274"/>
      <c r="O163" s="17"/>
    </row>
    <row r="164" spans="1:21" ht="15.75" thickBot="1" x14ac:dyDescent="0.3">
      <c r="A164" s="463"/>
      <c r="B164" s="472"/>
      <c r="C164" s="472"/>
      <c r="D164" s="472"/>
    </row>
    <row r="165" spans="1:21" ht="30" customHeight="1" thickBot="1" x14ac:dyDescent="0.3">
      <c r="A165" s="463"/>
      <c r="B165" s="467" t="s">
        <v>81</v>
      </c>
      <c r="C165" s="469" t="s">
        <v>75</v>
      </c>
      <c r="D165" s="470"/>
      <c r="E165" s="470"/>
      <c r="F165" s="470"/>
      <c r="G165" s="470"/>
      <c r="H165" s="470"/>
      <c r="I165" s="470"/>
      <c r="J165" s="470"/>
      <c r="K165" s="470"/>
      <c r="L165" s="470"/>
      <c r="M165" s="470"/>
      <c r="N165" s="471"/>
    </row>
    <row r="166" spans="1:21" ht="15.75" thickBot="1" x14ac:dyDescent="0.3">
      <c r="A166" s="463"/>
      <c r="B166" s="468"/>
      <c r="C166" s="311" t="s">
        <v>6</v>
      </c>
      <c r="D166" s="164" t="s">
        <v>7</v>
      </c>
      <c r="E166" s="164" t="s">
        <v>8</v>
      </c>
      <c r="F166" s="164" t="s">
        <v>9</v>
      </c>
      <c r="G166" s="164" t="s">
        <v>10</v>
      </c>
      <c r="H166" s="164" t="s">
        <v>11</v>
      </c>
      <c r="I166" s="164" t="s">
        <v>12</v>
      </c>
      <c r="J166" s="164" t="s">
        <v>13</v>
      </c>
      <c r="K166" s="164" t="s">
        <v>14</v>
      </c>
      <c r="L166" s="164" t="s">
        <v>15</v>
      </c>
      <c r="M166" s="164" t="s">
        <v>16</v>
      </c>
      <c r="N166" s="165" t="s">
        <v>17</v>
      </c>
      <c r="P166" s="319" t="s">
        <v>76</v>
      </c>
      <c r="S166" s="475" t="s">
        <v>212</v>
      </c>
      <c r="T166" s="476"/>
      <c r="U166" s="477"/>
    </row>
    <row r="167" spans="1:21" x14ac:dyDescent="0.25">
      <c r="A167" s="463"/>
      <c r="B167" s="275" t="s">
        <v>82</v>
      </c>
      <c r="C167" s="288">
        <f>'ESG - S RH1'!T24</f>
        <v>3.0954529195385112E-2</v>
      </c>
      <c r="D167" s="288">
        <f>'ESG - S RH1'!U24</f>
        <v>2.2683559761868418E-2</v>
      </c>
      <c r="E167" s="288">
        <f>'ESG - S RH1'!V24</f>
        <v>1.9515958181734443E-2</v>
      </c>
      <c r="F167" s="288">
        <f>'ESG - S RH1'!W24</f>
        <v>1.8400063624795494E-2</v>
      </c>
      <c r="G167" s="288">
        <f>'ESG - S RH1'!X24</f>
        <v>3.8999727025647718E-2</v>
      </c>
      <c r="H167" s="288">
        <f>'ESG - S RH1'!Y24</f>
        <v>1.2289548690845729E-2</v>
      </c>
      <c r="I167" s="288">
        <f>'ESG - S RH1'!Z24</f>
        <v>1.8726591760299626E-3</v>
      </c>
      <c r="J167" s="261"/>
      <c r="K167" s="261"/>
      <c r="L167" s="261"/>
      <c r="M167" s="261"/>
      <c r="N167" s="262"/>
      <c r="O167" s="168">
        <f>AVERAGE(C167:E167)</f>
        <v>2.4384682379662657E-2</v>
      </c>
      <c r="P167" s="157">
        <v>1</v>
      </c>
      <c r="S167" s="478"/>
      <c r="T167" s="479"/>
      <c r="U167" s="480"/>
    </row>
    <row r="168" spans="1:21" x14ac:dyDescent="0.25">
      <c r="A168" s="463"/>
      <c r="B168" s="276" t="s">
        <v>83</v>
      </c>
      <c r="C168" s="343">
        <f>'ESG - S RH1'!T54</f>
        <v>5.8823529411764701</v>
      </c>
      <c r="D168" s="343">
        <f>'ESG - S RH1'!U54</f>
        <v>3.125</v>
      </c>
      <c r="E168" s="343">
        <f>'ESG - S RH1'!V54</f>
        <v>5.3191489361702127</v>
      </c>
      <c r="F168" s="343">
        <f>'ESG - S RH1'!W54</f>
        <v>2.2222222222222223</v>
      </c>
      <c r="G168" s="343">
        <f>'ESG - S RH1'!X54</f>
        <v>1.1363636363636365</v>
      </c>
      <c r="H168" s="343">
        <f>'ESG - S RH1'!Y54</f>
        <v>8.9743589743589745</v>
      </c>
      <c r="I168" s="343">
        <f>'ESG - S RH1'!Z54</f>
        <v>0</v>
      </c>
      <c r="J168" s="264"/>
      <c r="K168" s="264"/>
      <c r="L168" s="264"/>
      <c r="M168" s="264"/>
      <c r="N168" s="265"/>
      <c r="O168" s="17">
        <f>AVERAGE(C168:E168)</f>
        <v>4.7755006257822279</v>
      </c>
      <c r="P168" s="157">
        <v>2</v>
      </c>
      <c r="S168" s="481" t="s">
        <v>213</v>
      </c>
      <c r="T168" s="482"/>
      <c r="U168" s="483"/>
    </row>
    <row r="169" spans="1:21" ht="15.75" thickBot="1" x14ac:dyDescent="0.3">
      <c r="A169" s="463"/>
      <c r="B169" s="277" t="s">
        <v>84</v>
      </c>
      <c r="C169" s="344">
        <f>GESTÃO!D60</f>
        <v>0</v>
      </c>
      <c r="D169" s="344">
        <f>GESTÃO!E60</f>
        <v>0</v>
      </c>
      <c r="E169" s="344">
        <f>GESTÃO!F60</f>
        <v>0</v>
      </c>
      <c r="F169" s="344">
        <f>GESTÃO!G60</f>
        <v>0</v>
      </c>
      <c r="G169" s="344">
        <f>GESTÃO!H60</f>
        <v>3729.4</v>
      </c>
      <c r="H169" s="344">
        <f>GESTÃO!I60</f>
        <v>0</v>
      </c>
      <c r="I169" s="344">
        <f>GESTÃO!J60</f>
        <v>0</v>
      </c>
      <c r="J169" s="278"/>
      <c r="K169" s="278"/>
      <c r="L169" s="278"/>
      <c r="M169" s="278"/>
      <c r="N169" s="279"/>
      <c r="O169" s="16">
        <f>AVERAGE(C169:N169)</f>
        <v>532.7714285714286</v>
      </c>
      <c r="P169" s="157">
        <v>3</v>
      </c>
      <c r="S169" s="484"/>
      <c r="T169" s="485"/>
      <c r="U169" s="486"/>
    </row>
    <row r="170" spans="1:21" ht="15.75" thickBot="1" x14ac:dyDescent="0.3">
      <c r="A170" s="463"/>
      <c r="B170" s="292" t="s">
        <v>85</v>
      </c>
      <c r="C170" s="345">
        <f>'ESG - S RH1'!C53</f>
        <v>98</v>
      </c>
      <c r="D170" s="345">
        <f>'ESG - S RH1'!D53</f>
        <v>106</v>
      </c>
      <c r="E170" s="345">
        <f>'ESG - S RH1'!E53</f>
        <v>238</v>
      </c>
      <c r="F170" s="345">
        <f>'ESG - S RH1'!F53</f>
        <v>332</v>
      </c>
      <c r="G170" s="345">
        <f>'ESG - S RH1'!G53</f>
        <v>599.04999999999995</v>
      </c>
      <c r="H170" s="345">
        <f>'ESG - S RH1'!H53</f>
        <v>624.29999999999995</v>
      </c>
      <c r="I170" s="345">
        <f>'ESG - S RH1'!I53</f>
        <v>0</v>
      </c>
      <c r="J170" s="273"/>
      <c r="K170" s="273"/>
      <c r="L170" s="273"/>
      <c r="M170" s="273"/>
      <c r="N170" s="274"/>
      <c r="O170" s="16">
        <f>H170</f>
        <v>624.29999999999995</v>
      </c>
      <c r="P170" s="157">
        <v>4</v>
      </c>
      <c r="S170" s="416" t="s">
        <v>214</v>
      </c>
      <c r="T170" s="487" t="s">
        <v>215</v>
      </c>
      <c r="U170" s="488"/>
    </row>
    <row r="171" spans="1:21" ht="15.75" thickBot="1" x14ac:dyDescent="0.3">
      <c r="A171" s="463"/>
      <c r="S171" s="417" t="s">
        <v>216</v>
      </c>
      <c r="T171" s="489" t="s">
        <v>217</v>
      </c>
      <c r="U171" s="490"/>
    </row>
    <row r="172" spans="1:21" ht="30" customHeight="1" x14ac:dyDescent="0.25">
      <c r="A172" s="463"/>
      <c r="B172" s="467" t="s">
        <v>86</v>
      </c>
      <c r="C172" s="469" t="s">
        <v>75</v>
      </c>
      <c r="D172" s="470"/>
      <c r="E172" s="470"/>
      <c r="F172" s="470"/>
      <c r="G172" s="470"/>
      <c r="H172" s="470"/>
      <c r="I172" s="470"/>
      <c r="J172" s="470"/>
      <c r="K172" s="470"/>
      <c r="L172" s="470"/>
      <c r="M172" s="470"/>
      <c r="N172" s="471"/>
      <c r="S172" s="418" t="s">
        <v>218</v>
      </c>
      <c r="T172" s="491" t="s">
        <v>219</v>
      </c>
      <c r="U172" s="492"/>
    </row>
    <row r="173" spans="1:21" ht="15.75" thickBot="1" x14ac:dyDescent="0.3">
      <c r="A173" s="463"/>
      <c r="B173" s="468"/>
      <c r="C173" s="163" t="s">
        <v>6</v>
      </c>
      <c r="D173" s="164" t="s">
        <v>7</v>
      </c>
      <c r="E173" s="164" t="s">
        <v>8</v>
      </c>
      <c r="F173" s="164" t="s">
        <v>9</v>
      </c>
      <c r="G173" s="164" t="s">
        <v>10</v>
      </c>
      <c r="H173" s="164" t="s">
        <v>11</v>
      </c>
      <c r="I173" s="164" t="s">
        <v>12</v>
      </c>
      <c r="J173" s="164" t="s">
        <v>13</v>
      </c>
      <c r="K173" s="164" t="s">
        <v>14</v>
      </c>
      <c r="L173" s="164" t="s">
        <v>15</v>
      </c>
      <c r="M173" s="164" t="s">
        <v>16</v>
      </c>
      <c r="N173" s="165" t="s">
        <v>17</v>
      </c>
      <c r="P173" s="319" t="s">
        <v>76</v>
      </c>
      <c r="S173" s="419" t="s">
        <v>220</v>
      </c>
      <c r="T173" s="473" t="s">
        <v>221</v>
      </c>
      <c r="U173" s="474"/>
    </row>
    <row r="174" spans="1:21" x14ac:dyDescent="0.25">
      <c r="A174" s="463"/>
      <c r="B174" s="275" t="s">
        <v>87</v>
      </c>
      <c r="C174" s="261"/>
      <c r="D174" s="261"/>
      <c r="E174" s="261"/>
      <c r="F174" s="261"/>
      <c r="G174" s="261"/>
      <c r="H174" s="261"/>
      <c r="I174" s="261"/>
      <c r="J174" s="261"/>
      <c r="K174" s="261"/>
      <c r="L174" s="261"/>
      <c r="M174" s="261"/>
      <c r="N174" s="262"/>
      <c r="P174" s="320">
        <v>1</v>
      </c>
    </row>
    <row r="175" spans="1:21" x14ac:dyDescent="0.25">
      <c r="A175" s="463"/>
      <c r="B175" s="276" t="s">
        <v>88</v>
      </c>
      <c r="C175" s="264"/>
      <c r="D175" s="264"/>
      <c r="E175" s="264"/>
      <c r="F175" s="264"/>
      <c r="G175" s="264"/>
      <c r="H175" s="264"/>
      <c r="I175" s="264"/>
      <c r="J175" s="264"/>
      <c r="K175" s="264"/>
      <c r="L175" s="264"/>
      <c r="M175" s="264"/>
      <c r="N175" s="265"/>
      <c r="P175" s="320">
        <v>2</v>
      </c>
    </row>
    <row r="176" spans="1:21" x14ac:dyDescent="0.25">
      <c r="A176" s="463"/>
      <c r="B176" s="280" t="s">
        <v>89</v>
      </c>
      <c r="C176" s="261"/>
      <c r="D176" s="261"/>
      <c r="E176" s="261"/>
      <c r="F176" s="261"/>
      <c r="G176" s="261"/>
      <c r="H176" s="261"/>
      <c r="I176" s="261"/>
      <c r="J176" s="261"/>
      <c r="K176" s="261"/>
      <c r="L176" s="261"/>
      <c r="M176" s="261"/>
      <c r="N176" s="262"/>
      <c r="P176" s="320">
        <v>3</v>
      </c>
    </row>
    <row r="177" spans="1:16" x14ac:dyDescent="0.25">
      <c r="A177" s="463"/>
      <c r="B177" s="276" t="s">
        <v>90</v>
      </c>
      <c r="C177" s="264"/>
      <c r="D177" s="264"/>
      <c r="E177" s="264"/>
      <c r="F177" s="264"/>
      <c r="G177" s="264"/>
      <c r="H177" s="264"/>
      <c r="I177" s="264"/>
      <c r="J177" s="264"/>
      <c r="K177" s="264"/>
      <c r="L177" s="264"/>
      <c r="M177" s="264"/>
      <c r="N177" s="265"/>
      <c r="P177" s="348">
        <v>4</v>
      </c>
    </row>
    <row r="178" spans="1:16" ht="15.75" x14ac:dyDescent="0.25">
      <c r="A178" s="463"/>
      <c r="B178" s="280" t="s">
        <v>91</v>
      </c>
      <c r="C178" s="261"/>
      <c r="D178" s="261"/>
      <c r="E178" s="261"/>
      <c r="F178" s="261"/>
      <c r="G178" s="261"/>
      <c r="H178" s="261"/>
      <c r="I178" s="261"/>
      <c r="J178" s="261"/>
      <c r="K178" s="261"/>
      <c r="L178" s="261"/>
      <c r="M178" s="261"/>
      <c r="N178" s="262"/>
      <c r="P178" s="318">
        <v>5</v>
      </c>
    </row>
    <row r="179" spans="1:16" ht="15.75" x14ac:dyDescent="0.25">
      <c r="A179" s="463"/>
      <c r="B179" s="276" t="s">
        <v>92</v>
      </c>
      <c r="C179" s="289">
        <v>100</v>
      </c>
      <c r="D179" s="289">
        <v>100</v>
      </c>
      <c r="E179" s="289">
        <v>100</v>
      </c>
      <c r="F179" s="289">
        <v>100</v>
      </c>
      <c r="G179" s="289">
        <v>100</v>
      </c>
      <c r="H179" s="289">
        <v>100</v>
      </c>
      <c r="I179" s="289">
        <v>100</v>
      </c>
      <c r="J179" s="264"/>
      <c r="K179" s="264"/>
      <c r="L179" s="264"/>
      <c r="M179" s="264"/>
      <c r="N179" s="265"/>
      <c r="P179" s="318">
        <v>6</v>
      </c>
    </row>
    <row r="180" spans="1:16" ht="15.75" x14ac:dyDescent="0.25">
      <c r="A180" s="463"/>
      <c r="B180" s="280" t="s">
        <v>93</v>
      </c>
      <c r="C180" s="261"/>
      <c r="D180" s="261"/>
      <c r="E180" s="261"/>
      <c r="F180" s="261"/>
      <c r="G180" s="261"/>
      <c r="H180" s="261"/>
      <c r="I180" s="261"/>
      <c r="J180" s="261"/>
      <c r="K180" s="261"/>
      <c r="L180" s="261"/>
      <c r="M180" s="261"/>
      <c r="N180" s="262"/>
      <c r="P180" s="318">
        <v>7</v>
      </c>
    </row>
    <row r="181" spans="1:16" x14ac:dyDescent="0.25">
      <c r="A181" s="463"/>
      <c r="B181" s="276" t="s">
        <v>94</v>
      </c>
      <c r="C181" s="289">
        <f>C22</f>
        <v>90.5</v>
      </c>
      <c r="D181" s="289">
        <f t="shared" ref="D181:I181" si="4">D22</f>
        <v>92.33</v>
      </c>
      <c r="E181" s="289">
        <f t="shared" si="4"/>
        <v>94.91</v>
      </c>
      <c r="F181" s="289">
        <f t="shared" si="4"/>
        <v>96.63</v>
      </c>
      <c r="G181" s="289">
        <f t="shared" si="4"/>
        <v>95.67</v>
      </c>
      <c r="H181" s="289">
        <f t="shared" si="4"/>
        <v>94.72</v>
      </c>
      <c r="I181" s="409" t="str">
        <f t="shared" si="4"/>
        <v>-</v>
      </c>
      <c r="J181" s="264"/>
      <c r="K181" s="264"/>
      <c r="L181" s="264"/>
      <c r="M181" s="264"/>
      <c r="N181" s="265"/>
      <c r="O181" s="17">
        <f>AVERAGE(C181:I181)</f>
        <v>94.126666666666665</v>
      </c>
      <c r="P181" s="348">
        <v>8</v>
      </c>
    </row>
    <row r="182" spans="1:16" ht="15.75" thickBot="1" x14ac:dyDescent="0.3">
      <c r="A182" s="464"/>
      <c r="B182" s="281"/>
      <c r="C182" s="278"/>
      <c r="D182" s="278"/>
      <c r="E182" s="278"/>
      <c r="F182" s="278"/>
      <c r="G182" s="278"/>
      <c r="H182" s="278"/>
      <c r="I182" s="278"/>
      <c r="J182" s="278"/>
      <c r="K182" s="278"/>
      <c r="L182" s="278"/>
      <c r="M182" s="278"/>
      <c r="N182" s="279">
        <v>0</v>
      </c>
    </row>
  </sheetData>
  <mergeCells count="36">
    <mergeCell ref="T173:U173"/>
    <mergeCell ref="S166:U167"/>
    <mergeCell ref="S168:U169"/>
    <mergeCell ref="T170:U170"/>
    <mergeCell ref="T171:U171"/>
    <mergeCell ref="T172:U172"/>
    <mergeCell ref="A156:A182"/>
    <mergeCell ref="B156:B157"/>
    <mergeCell ref="B165:B166"/>
    <mergeCell ref="B172:B173"/>
    <mergeCell ref="C156:N156"/>
    <mergeCell ref="C165:N165"/>
    <mergeCell ref="C172:N172"/>
    <mergeCell ref="B164:D164"/>
    <mergeCell ref="A144:A154"/>
    <mergeCell ref="Q20:W20"/>
    <mergeCell ref="Q24:W24"/>
    <mergeCell ref="Q28:W28"/>
    <mergeCell ref="A32:A42"/>
    <mergeCell ref="Q32:W32"/>
    <mergeCell ref="Q40:W40"/>
    <mergeCell ref="A20:A30"/>
    <mergeCell ref="A44:A58"/>
    <mergeCell ref="Q50:V50"/>
    <mergeCell ref="Q51:V51"/>
    <mergeCell ref="A60:A70"/>
    <mergeCell ref="A72:A86"/>
    <mergeCell ref="A88:A106"/>
    <mergeCell ref="A108:A130"/>
    <mergeCell ref="A132:A142"/>
    <mergeCell ref="A1:N2"/>
    <mergeCell ref="A4:A18"/>
    <mergeCell ref="Q4:T4"/>
    <mergeCell ref="Q8:T8"/>
    <mergeCell ref="Q12:T12"/>
    <mergeCell ref="Q16:W16"/>
  </mergeCells>
  <conditionalFormatting sqref="C150">
    <cfRule type="cellIs" dxfId="27" priority="5" operator="greaterThan">
      <formula>800</formula>
    </cfRule>
  </conditionalFormatting>
  <conditionalFormatting sqref="C22:I22">
    <cfRule type="cellIs" dxfId="26" priority="20" operator="lessThan">
      <formula>90</formula>
    </cfRule>
  </conditionalFormatting>
  <conditionalFormatting sqref="C26:I26">
    <cfRule type="cellIs" dxfId="25" priority="3" operator="lessThan">
      <formula>100</formula>
    </cfRule>
  </conditionalFormatting>
  <conditionalFormatting sqref="C90:I90">
    <cfRule type="cellIs" dxfId="24" priority="13" operator="lessThan">
      <formula>90</formula>
    </cfRule>
  </conditionalFormatting>
  <conditionalFormatting sqref="C94:I94">
    <cfRule type="cellIs" dxfId="23" priority="12" operator="lessThan">
      <formula>90</formula>
    </cfRule>
  </conditionalFormatting>
  <conditionalFormatting sqref="C6:N6">
    <cfRule type="cellIs" dxfId="22" priority="23" operator="lessThan">
      <formula>90</formula>
    </cfRule>
    <cfRule type="cellIs" dxfId="21" priority="24" operator="greaterThanOrEqual">
      <formula>$C$4</formula>
    </cfRule>
  </conditionalFormatting>
  <conditionalFormatting sqref="C14:N14">
    <cfRule type="cellIs" dxfId="20" priority="22" operator="greaterThan">
      <formula>4000</formula>
    </cfRule>
  </conditionalFormatting>
  <conditionalFormatting sqref="C18:N18">
    <cfRule type="cellIs" dxfId="19" priority="21" operator="greaterThan">
      <formula>500</formula>
    </cfRule>
  </conditionalFormatting>
  <conditionalFormatting sqref="C46:N46">
    <cfRule type="cellIs" dxfId="18" priority="18" operator="greaterThan">
      <formula>4000</formula>
    </cfRule>
  </conditionalFormatting>
  <conditionalFormatting sqref="C50:N50">
    <cfRule type="cellIs" dxfId="17" priority="17" operator="greaterThan">
      <formula>800</formula>
    </cfRule>
  </conditionalFormatting>
  <conditionalFormatting sqref="C66:N66">
    <cfRule type="cellIs" dxfId="16" priority="15" operator="greaterThan">
      <formula>0.025</formula>
    </cfRule>
    <cfRule type="cellIs" dxfId="15" priority="16" operator="greaterThan">
      <formula>2.5</formula>
    </cfRule>
  </conditionalFormatting>
  <conditionalFormatting sqref="C70:N70">
    <cfRule type="cellIs" dxfId="14" priority="1" operator="greaterThan">
      <formula>$C$68</formula>
    </cfRule>
    <cfRule type="cellIs" dxfId="13" priority="2" operator="greaterThan">
      <formula>3</formula>
    </cfRule>
  </conditionalFormatting>
  <conditionalFormatting sqref="C78:N78">
    <cfRule type="cellIs" dxfId="12" priority="7" operator="greaterThan">
      <formula>$C$76</formula>
    </cfRule>
  </conditionalFormatting>
  <conditionalFormatting sqref="C82:N82">
    <cfRule type="cellIs" dxfId="11" priority="6" operator="greaterThan">
      <formula>$C$80</formula>
    </cfRule>
  </conditionalFormatting>
  <conditionalFormatting sqref="C98:N99">
    <cfRule type="cellIs" dxfId="10" priority="11" operator="greaterThan">
      <formula>4000</formula>
    </cfRule>
  </conditionalFormatting>
  <conditionalFormatting sqref="C106:N106">
    <cfRule type="cellIs" dxfId="9" priority="10" operator="greaterThan">
      <formula>0.38</formula>
    </cfRule>
  </conditionalFormatting>
  <conditionalFormatting sqref="C122:N122">
    <cfRule type="cellIs" dxfId="8" priority="9" operator="greaterThan">
      <formula>$C$120</formula>
    </cfRule>
  </conditionalFormatting>
  <conditionalFormatting sqref="D150:N150">
    <cfRule type="cellIs" dxfId="7" priority="4" operator="greaterThan">
      <formula>$C$148</formula>
    </cfRule>
  </conditionalFormatting>
  <hyperlinks>
    <hyperlink ref="P174" r:id="rId1" display="../../../SGQ/1.MQ &amp; anexos/Anexo II - Organograma 2026 rev.11_Automotive_Global.pptx" xr:uid="{763661CA-8FA2-4F0D-95C2-150813D287DA}"/>
    <hyperlink ref="P175" r:id="rId2" display="../../../RECURSOS HUMANOS/DESEMPENHO PESSOAL/Base de Cargos e Salários 2026.xlsx" xr:uid="{32A0AC74-FF0B-4571-8AF8-36FC9B1C1C05}"/>
    <hyperlink ref="P176" r:id="rId3" display="../../../SGQ/35. ESG/S-SOCIAL/Codigo de Conduta_rev.00-26.docx" xr:uid="{29097E3A-CF99-475E-904D-8A8CA3176088}"/>
    <hyperlink ref="P177" r:id="rId4" display="../../../SGQ/35. ESG/G-GOVERNANCE/Politica Anticorrupção e Conflito de Interesses 0426.pdf" xr:uid="{8ADE8EAE-B59B-4200-8395-E0D7EC1E8E55}"/>
    <hyperlink ref="P181" r:id="rId5" display="../../../QUALIDADE/01 - Recebimento/FORNECEDORES/2026/AUTOMOTIVE/IQF_G26_Automotive.xlsx?web=1" xr:uid="{6029779A-D101-40BF-B163-8CD27D5DDFFD}"/>
  </hyperlink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35" orientation="landscape" horizontalDpi="0" verticalDpi="0"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D0E84-1613-45D3-A033-A195DC228514}">
  <dimension ref="A2:R32"/>
  <sheetViews>
    <sheetView showGridLines="0" workbookViewId="0">
      <selection activeCell="B28" sqref="B28"/>
    </sheetView>
  </sheetViews>
  <sheetFormatPr defaultRowHeight="15" x14ac:dyDescent="0.25"/>
  <cols>
    <col min="3" max="3" width="10.85546875" bestFit="1" customWidth="1"/>
    <col min="4" max="8" width="12.28515625" bestFit="1" customWidth="1"/>
    <col min="9" max="9" width="11.85546875" bestFit="1" customWidth="1"/>
    <col min="10" max="10" width="11.140625" bestFit="1" customWidth="1"/>
    <col min="17" max="17" width="10.5703125" bestFit="1" customWidth="1"/>
    <col min="18" max="18" width="14.28515625" bestFit="1" customWidth="1"/>
  </cols>
  <sheetData>
    <row r="2" spans="1:17" x14ac:dyDescent="0.25">
      <c r="A2" s="13"/>
      <c r="B2" s="13"/>
      <c r="C2" s="13"/>
      <c r="D2" s="22"/>
      <c r="E2" s="22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7"/>
    </row>
    <row r="3" spans="1:17" x14ac:dyDescent="0.25">
      <c r="A3" s="13"/>
      <c r="B3" s="13"/>
      <c r="C3" s="13"/>
      <c r="D3" s="22"/>
      <c r="E3" s="22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7"/>
    </row>
    <row r="4" spans="1:17" x14ac:dyDescent="0.25">
      <c r="A4" s="494"/>
      <c r="B4" s="494"/>
      <c r="C4" s="13"/>
      <c r="D4" s="22"/>
      <c r="E4" s="22"/>
      <c r="F4" s="22"/>
      <c r="G4" s="22"/>
      <c r="H4" s="16"/>
      <c r="I4" s="16"/>
      <c r="J4" s="16"/>
      <c r="K4" s="16"/>
      <c r="L4" s="16"/>
      <c r="M4" s="16"/>
      <c r="N4" s="16"/>
      <c r="O4" s="16"/>
      <c r="P4" s="16"/>
      <c r="Q4" s="17"/>
    </row>
    <row r="5" spans="1:17" x14ac:dyDescent="0.25">
      <c r="A5" s="13"/>
      <c r="B5" s="13"/>
      <c r="C5" s="13"/>
      <c r="D5" s="22"/>
      <c r="E5" s="22"/>
      <c r="F5" s="22"/>
      <c r="G5" s="22"/>
      <c r="H5" s="16"/>
      <c r="I5" s="16"/>
      <c r="J5" s="16"/>
      <c r="K5" s="16"/>
      <c r="L5" s="16"/>
      <c r="M5" s="16"/>
      <c r="N5" s="16"/>
      <c r="O5" s="16"/>
      <c r="P5" s="16"/>
      <c r="Q5" s="17"/>
    </row>
    <row r="6" spans="1:17" x14ac:dyDescent="0.25">
      <c r="A6" s="494"/>
      <c r="B6" s="494"/>
      <c r="C6" s="1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27" spans="1:18" x14ac:dyDescent="0.25">
      <c r="A27" s="493" t="s">
        <v>95</v>
      </c>
      <c r="B27" s="493"/>
      <c r="C27" s="2" t="s">
        <v>96</v>
      </c>
      <c r="D27" s="94" t="s">
        <v>97</v>
      </c>
      <c r="E27" s="94" t="s">
        <v>98</v>
      </c>
      <c r="F27" s="94" t="s">
        <v>99</v>
      </c>
      <c r="G27" s="94" t="s">
        <v>100</v>
      </c>
      <c r="H27" s="94" t="s">
        <v>101</v>
      </c>
      <c r="I27" s="94" t="s">
        <v>102</v>
      </c>
      <c r="J27" s="94" t="s">
        <v>103</v>
      </c>
      <c r="K27" s="94" t="s">
        <v>104</v>
      </c>
      <c r="L27" s="94" t="s">
        <v>105</v>
      </c>
      <c r="M27" s="94" t="s">
        <v>106</v>
      </c>
      <c r="N27" s="94" t="s">
        <v>107</v>
      </c>
      <c r="O27" s="94" t="s">
        <v>108</v>
      </c>
      <c r="P27" s="94" t="s">
        <v>109</v>
      </c>
      <c r="Q27" s="94" t="s">
        <v>110</v>
      </c>
      <c r="R27" s="94" t="s">
        <v>303</v>
      </c>
    </row>
    <row r="28" spans="1:18" x14ac:dyDescent="0.25">
      <c r="A28" s="20" t="s">
        <v>111</v>
      </c>
      <c r="B28" s="21">
        <v>0.5</v>
      </c>
      <c r="C28" s="144"/>
      <c r="D28" s="19">
        <v>0.5</v>
      </c>
      <c r="E28" s="19">
        <v>0.5</v>
      </c>
      <c r="F28" s="19">
        <v>0.5</v>
      </c>
      <c r="G28" s="19">
        <v>0.5</v>
      </c>
      <c r="H28" s="19">
        <v>0.5</v>
      </c>
      <c r="I28" s="19">
        <v>0.5</v>
      </c>
      <c r="J28" s="19">
        <v>0.5</v>
      </c>
      <c r="K28" s="19">
        <v>0.5</v>
      </c>
      <c r="L28" s="19">
        <v>0.5</v>
      </c>
      <c r="M28" s="19">
        <v>0.5</v>
      </c>
      <c r="N28" s="19">
        <v>0.5</v>
      </c>
      <c r="O28" s="19">
        <v>0.5</v>
      </c>
      <c r="P28" s="18"/>
      <c r="Q28" s="3"/>
      <c r="R28" s="3"/>
    </row>
    <row r="29" spans="1:18" x14ac:dyDescent="0.25">
      <c r="A29" s="145" t="s">
        <v>112</v>
      </c>
      <c r="B29" s="25"/>
      <c r="C29" s="382">
        <v>27725.03</v>
      </c>
      <c r="D29" s="330">
        <v>23123.920000000002</v>
      </c>
      <c r="E29" s="330">
        <v>29137.390000000003</v>
      </c>
      <c r="F29" s="330">
        <v>26133.289999999997</v>
      </c>
      <c r="G29" s="330">
        <v>28243.02</v>
      </c>
      <c r="H29" s="360">
        <v>26419.66</v>
      </c>
      <c r="I29" s="381">
        <f>148.16+115.38+25294.27</f>
        <v>25557.81</v>
      </c>
      <c r="J29" s="381">
        <f>121.4+129.63+12150.3</f>
        <v>12401.33</v>
      </c>
      <c r="K29" s="142"/>
      <c r="L29" s="142"/>
      <c r="M29" s="142"/>
      <c r="N29" s="142"/>
      <c r="O29" s="142"/>
      <c r="P29" s="141">
        <f>AVERAGE(D29:O29)</f>
        <v>24430.917142857139</v>
      </c>
      <c r="Q29" s="394">
        <f>(P29/C29)-1</f>
        <v>-0.11881368053137764</v>
      </c>
      <c r="R29" s="385">
        <f>SUM(D29:O29)</f>
        <v>171016.41999999998</v>
      </c>
    </row>
    <row r="30" spans="1:18" x14ac:dyDescent="0.25">
      <c r="A30" s="145" t="s">
        <v>113</v>
      </c>
      <c r="B30" s="25"/>
      <c r="C30" s="18"/>
      <c r="D30" s="141"/>
      <c r="E30" s="141"/>
      <c r="F30" s="141"/>
      <c r="G30" s="142"/>
      <c r="H30" s="142"/>
      <c r="I30" s="142"/>
      <c r="J30" s="142"/>
      <c r="K30" s="142"/>
      <c r="L30" s="142"/>
      <c r="M30" s="142"/>
      <c r="N30" s="142"/>
      <c r="O30" s="142"/>
      <c r="P30" s="141"/>
      <c r="Q30" s="395"/>
      <c r="R30" s="3"/>
    </row>
    <row r="31" spans="1:18" x14ac:dyDescent="0.25">
      <c r="A31" s="145" t="s">
        <v>419</v>
      </c>
      <c r="B31" s="25"/>
      <c r="C31" s="393">
        <f>C29/C32</f>
        <v>0.42647987201772058</v>
      </c>
      <c r="D31" s="383">
        <f>D29/D32</f>
        <v>0.31723536190528456</v>
      </c>
      <c r="E31" s="383">
        <f t="shared" ref="E31:G31" si="0">E29/E32</f>
        <v>0.47322468004937313</v>
      </c>
      <c r="F31" s="383">
        <f t="shared" si="0"/>
        <v>0.40493499852797615</v>
      </c>
      <c r="G31" s="383">
        <f t="shared" si="0"/>
        <v>0.44751342872082522</v>
      </c>
      <c r="H31" s="383">
        <f>H29/H32</f>
        <v>0.46277211420564024</v>
      </c>
      <c r="I31" s="383">
        <f>I29/I32</f>
        <v>0.68380270761986306</v>
      </c>
      <c r="J31" s="383">
        <f>J29/J32</f>
        <v>4.0408374063212769</v>
      </c>
      <c r="K31" s="92"/>
      <c r="L31" s="92"/>
      <c r="M31" s="92"/>
      <c r="N31" s="92"/>
      <c r="O31" s="92"/>
      <c r="P31" s="384">
        <f t="shared" ref="P31:P32" si="1">AVERAGE(D31:O31)</f>
        <v>0.97576009962146271</v>
      </c>
      <c r="Q31" s="394">
        <f>P31/C31</f>
        <v>2.2879393932591481</v>
      </c>
      <c r="R31" s="385">
        <f>R29/R32</f>
        <v>0.47551187692376129</v>
      </c>
    </row>
    <row r="32" spans="1:18" x14ac:dyDescent="0.25">
      <c r="A32" s="9" t="s">
        <v>422</v>
      </c>
      <c r="B32" s="25"/>
      <c r="C32" s="282">
        <v>65009</v>
      </c>
      <c r="D32" s="92">
        <f>GESTÃO!D92</f>
        <v>72892</v>
      </c>
      <c r="E32" s="92">
        <f>GESTÃO!E92</f>
        <v>61572</v>
      </c>
      <c r="F32" s="92">
        <f>GESTÃO!F92</f>
        <v>64537</v>
      </c>
      <c r="G32" s="92">
        <f>GESTÃO!G92</f>
        <v>63111</v>
      </c>
      <c r="H32" s="92">
        <f>GESTÃO!H92</f>
        <v>57090</v>
      </c>
      <c r="I32" s="92">
        <v>37376</v>
      </c>
      <c r="J32" s="92">
        <v>3069</v>
      </c>
      <c r="K32" s="92"/>
      <c r="L32" s="92"/>
      <c r="M32" s="92"/>
      <c r="N32" s="92"/>
      <c r="O32" s="92"/>
      <c r="P32" s="384">
        <f t="shared" si="1"/>
        <v>51378.142857142855</v>
      </c>
      <c r="Q32" s="394">
        <f>(P32/C32)-1</f>
        <v>-0.2096764623799342</v>
      </c>
      <c r="R32" s="4">
        <f>SUM(D32:O32)</f>
        <v>359647</v>
      </c>
    </row>
  </sheetData>
  <mergeCells count="3">
    <mergeCell ref="A27:B27"/>
    <mergeCell ref="A6:B6"/>
    <mergeCell ref="A4:B4"/>
  </mergeCells>
  <conditionalFormatting sqref="Q31">
    <cfRule type="cellIs" dxfId="6" priority="1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9104B-58FF-4C28-BA8F-8A798F0B407B}">
  <dimension ref="A1:R32"/>
  <sheetViews>
    <sheetView showGridLines="0" topLeftCell="A22" zoomScale="82" zoomScaleNormal="82" workbookViewId="0">
      <selection activeCell="J31" sqref="J31"/>
    </sheetView>
  </sheetViews>
  <sheetFormatPr defaultRowHeight="15" x14ac:dyDescent="0.25"/>
  <cols>
    <col min="1" max="1" width="11.28515625" bestFit="1" customWidth="1"/>
    <col min="2" max="2" width="11.85546875" bestFit="1" customWidth="1"/>
    <col min="3" max="3" width="11.85546875" customWidth="1"/>
    <col min="4" max="8" width="12.5703125" bestFit="1" customWidth="1"/>
    <col min="9" max="15" width="11.28515625" bestFit="1" customWidth="1"/>
    <col min="16" max="16" width="9.5703125" bestFit="1" customWidth="1"/>
    <col min="17" max="17" width="6.42578125" bestFit="1" customWidth="1"/>
    <col min="18" max="18" width="13.5703125" bestFit="1" customWidth="1"/>
    <col min="19" max="19" width="11.140625" bestFit="1" customWidth="1"/>
  </cols>
  <sheetData>
    <row r="1" spans="1:17" x14ac:dyDescent="0.25">
      <c r="A1" s="129"/>
      <c r="B1" s="129"/>
      <c r="C1" s="13"/>
      <c r="D1" s="22"/>
      <c r="E1" s="22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</row>
    <row r="2" spans="1:17" x14ac:dyDescent="0.25">
      <c r="A2" s="13"/>
      <c r="B2" s="13"/>
      <c r="C2" s="13"/>
      <c r="D2" s="22"/>
      <c r="E2" s="22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7"/>
    </row>
    <row r="3" spans="1:17" x14ac:dyDescent="0.25">
      <c r="A3" s="13"/>
      <c r="B3" s="13"/>
      <c r="C3" s="13"/>
      <c r="D3" s="22"/>
      <c r="E3" s="22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7"/>
    </row>
    <row r="4" spans="1:17" x14ac:dyDescent="0.25">
      <c r="A4" s="494"/>
      <c r="B4" s="494"/>
      <c r="C4" s="13"/>
      <c r="D4" s="22"/>
      <c r="E4" s="22"/>
      <c r="F4" s="22"/>
      <c r="G4" s="22"/>
      <c r="H4" s="16"/>
      <c r="I4" s="16"/>
      <c r="J4" s="16"/>
      <c r="K4" s="16"/>
      <c r="L4" s="16"/>
      <c r="M4" s="16"/>
      <c r="N4" s="16"/>
      <c r="O4" s="16"/>
      <c r="P4" s="16"/>
      <c r="Q4" s="17"/>
    </row>
    <row r="5" spans="1:17" x14ac:dyDescent="0.25">
      <c r="A5" s="13"/>
      <c r="B5" s="13"/>
      <c r="C5" s="13"/>
      <c r="D5" s="22"/>
      <c r="E5" s="22"/>
      <c r="F5" s="22"/>
      <c r="G5" s="22"/>
      <c r="H5" s="16"/>
      <c r="I5" s="16"/>
      <c r="J5" s="16"/>
      <c r="K5" s="16"/>
      <c r="L5" s="16"/>
      <c r="M5" s="16"/>
      <c r="N5" s="16"/>
      <c r="O5" s="16"/>
      <c r="P5" s="16"/>
      <c r="Q5" s="17"/>
    </row>
    <row r="6" spans="1:17" x14ac:dyDescent="0.25">
      <c r="A6" s="494"/>
      <c r="B6" s="494"/>
      <c r="C6" s="1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27" spans="1:18" x14ac:dyDescent="0.25">
      <c r="A27" s="493" t="s">
        <v>95</v>
      </c>
      <c r="B27" s="493"/>
      <c r="C27" s="2" t="s">
        <v>96</v>
      </c>
      <c r="D27" s="3" t="s">
        <v>97</v>
      </c>
      <c r="E27" s="3" t="s">
        <v>98</v>
      </c>
      <c r="F27" s="3" t="s">
        <v>99</v>
      </c>
      <c r="G27" s="3" t="s">
        <v>100</v>
      </c>
      <c r="H27" s="3" t="s">
        <v>101</v>
      </c>
      <c r="I27" s="3" t="s">
        <v>102</v>
      </c>
      <c r="J27" s="3" t="s">
        <v>103</v>
      </c>
      <c r="K27" s="3" t="s">
        <v>104</v>
      </c>
      <c r="L27" s="3" t="s">
        <v>105</v>
      </c>
      <c r="M27" s="3" t="s">
        <v>106</v>
      </c>
      <c r="N27" s="3" t="s">
        <v>107</v>
      </c>
      <c r="O27" s="3" t="s">
        <v>108</v>
      </c>
      <c r="P27" s="3" t="s">
        <v>109</v>
      </c>
      <c r="Q27" s="3" t="s">
        <v>110</v>
      </c>
      <c r="R27" s="94" t="s">
        <v>303</v>
      </c>
    </row>
    <row r="28" spans="1:18" x14ac:dyDescent="0.25">
      <c r="A28" s="20" t="s">
        <v>111</v>
      </c>
      <c r="B28" s="21">
        <v>0.15</v>
      </c>
      <c r="C28" s="144"/>
      <c r="D28" s="365">
        <v>0.15</v>
      </c>
      <c r="E28" s="365">
        <v>0.15</v>
      </c>
      <c r="F28" s="365">
        <v>0.15</v>
      </c>
      <c r="G28" s="365">
        <v>0.15</v>
      </c>
      <c r="H28" s="365">
        <v>0.15</v>
      </c>
      <c r="I28" s="365">
        <v>0.15</v>
      </c>
      <c r="J28" s="365">
        <v>0.15</v>
      </c>
      <c r="K28" s="365">
        <v>0.15</v>
      </c>
      <c r="L28" s="365">
        <v>0.15</v>
      </c>
      <c r="M28" s="365">
        <v>0.15</v>
      </c>
      <c r="N28" s="365">
        <v>0.15</v>
      </c>
      <c r="O28" s="365">
        <v>0.15</v>
      </c>
      <c r="P28" s="18"/>
      <c r="Q28" s="3"/>
      <c r="R28" s="3"/>
    </row>
    <row r="29" spans="1:18" x14ac:dyDescent="0.25">
      <c r="A29" s="145" t="s">
        <v>112</v>
      </c>
      <c r="B29" s="25"/>
      <c r="C29" s="391">
        <v>3688.89</v>
      </c>
      <c r="D29" s="359">
        <v>3804.36</v>
      </c>
      <c r="E29" s="359">
        <v>7698.6</v>
      </c>
      <c r="F29" s="359">
        <v>5061.16</v>
      </c>
      <c r="G29" s="359">
        <v>4605.4799999999996</v>
      </c>
      <c r="H29" s="359">
        <v>2251.14</v>
      </c>
      <c r="I29" s="378">
        <v>1426.82</v>
      </c>
      <c r="J29" s="378">
        <v>966.18</v>
      </c>
      <c r="K29" s="142"/>
      <c r="L29" s="142"/>
      <c r="M29" s="142"/>
      <c r="N29" s="142"/>
      <c r="O29" s="142"/>
      <c r="P29" s="141">
        <f>AVERAGE(D29:J29)</f>
        <v>3687.6771428571433</v>
      </c>
      <c r="Q29" s="361"/>
      <c r="R29" s="356">
        <f>SUM(D29:O29)</f>
        <v>25813.74</v>
      </c>
    </row>
    <row r="30" spans="1:18" x14ac:dyDescent="0.25">
      <c r="A30" s="145" t="s">
        <v>116</v>
      </c>
      <c r="B30" s="25"/>
      <c r="C30" s="386"/>
      <c r="D30" s="142">
        <v>102</v>
      </c>
      <c r="E30" s="142">
        <v>158</v>
      </c>
      <c r="F30" s="142">
        <v>127</v>
      </c>
      <c r="G30" s="142">
        <v>116</v>
      </c>
      <c r="H30" s="142">
        <v>94</v>
      </c>
      <c r="I30" s="142">
        <v>66</v>
      </c>
      <c r="J30" s="142">
        <v>26</v>
      </c>
      <c r="K30" s="142"/>
      <c r="L30" s="142"/>
      <c r="M30" s="142"/>
      <c r="N30" s="142"/>
      <c r="O30" s="142"/>
      <c r="P30" s="141">
        <f>AVERAGE(D30:J30)</f>
        <v>98.428571428571431</v>
      </c>
      <c r="Q30" s="362"/>
      <c r="R30" s="3"/>
    </row>
    <row r="31" spans="1:18" x14ac:dyDescent="0.25">
      <c r="A31" s="145" t="s">
        <v>114</v>
      </c>
      <c r="B31" s="25"/>
      <c r="C31" s="392">
        <f>C29/C32</f>
        <v>5.6744296943500132E-2</v>
      </c>
      <c r="D31" s="356">
        <f>D29/D32</f>
        <v>5.2191735718597379E-2</v>
      </c>
      <c r="E31" s="356">
        <f t="shared" ref="E31:J31" si="0">E29/E32</f>
        <v>0.12503410641200546</v>
      </c>
      <c r="F31" s="356">
        <f t="shared" si="0"/>
        <v>7.8422610285572611E-2</v>
      </c>
      <c r="G31" s="356">
        <f t="shared" si="0"/>
        <v>7.2974283405428525E-2</v>
      </c>
      <c r="H31" s="356">
        <f t="shared" si="0"/>
        <v>3.9452155625657202E-2</v>
      </c>
      <c r="I31" s="356">
        <f t="shared" si="0"/>
        <v>3.8174764554794516E-2</v>
      </c>
      <c r="J31" s="356">
        <f t="shared" si="0"/>
        <v>0.31481915933528837</v>
      </c>
      <c r="K31" s="356"/>
      <c r="L31" s="356"/>
      <c r="M31" s="356"/>
      <c r="N31" s="356"/>
      <c r="O31" s="356"/>
      <c r="P31" s="141">
        <f>AVERAGE(D31:F31)</f>
        <v>8.5216150805391813E-2</v>
      </c>
      <c r="Q31" s="364">
        <f>P31/C31-1</f>
        <v>0.50175709975296523</v>
      </c>
      <c r="R31" s="356">
        <f>R29/R32</f>
        <v>7.1781200555034938E-2</v>
      </c>
    </row>
    <row r="32" spans="1:18" x14ac:dyDescent="0.25">
      <c r="A32" s="145" t="s">
        <v>115</v>
      </c>
      <c r="B32" s="25"/>
      <c r="C32" s="282">
        <v>65009</v>
      </c>
      <c r="D32" s="4">
        <v>72892</v>
      </c>
      <c r="E32" s="4">
        <v>61572</v>
      </c>
      <c r="F32" s="4">
        <v>64537</v>
      </c>
      <c r="G32" s="4">
        <f>'ESG - Energia Eletrica'!G32</f>
        <v>63111</v>
      </c>
      <c r="H32" s="4">
        <v>57060</v>
      </c>
      <c r="I32" s="4">
        <v>37376</v>
      </c>
      <c r="J32" s="4">
        <v>3069</v>
      </c>
      <c r="K32" s="4"/>
      <c r="L32" s="4"/>
      <c r="M32" s="4"/>
      <c r="N32" s="4"/>
      <c r="O32" s="4"/>
      <c r="P32" s="142">
        <f>AVERAGE(D32:J32)</f>
        <v>51373.857142857145</v>
      </c>
      <c r="Q32" s="363"/>
      <c r="R32" s="4">
        <f>SUM(D32:O32)</f>
        <v>359617</v>
      </c>
    </row>
  </sheetData>
  <mergeCells count="3">
    <mergeCell ref="A4:B4"/>
    <mergeCell ref="A6:B6"/>
    <mergeCell ref="A27:B27"/>
  </mergeCells>
  <conditionalFormatting sqref="Q31">
    <cfRule type="cellIs" dxfId="5" priority="1" operator="lessThanOrEqual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88B09-A15A-49CF-923D-92A4AB0C4CA3}">
  <dimension ref="A1:Q108"/>
  <sheetViews>
    <sheetView showGridLines="0" zoomScale="89" zoomScaleNormal="89" workbookViewId="0">
      <selection activeCell="R68" sqref="R68"/>
    </sheetView>
  </sheetViews>
  <sheetFormatPr defaultRowHeight="15" x14ac:dyDescent="0.25"/>
  <cols>
    <col min="1" max="1" width="11.28515625" bestFit="1" customWidth="1"/>
    <col min="2" max="2" width="13.28515625" bestFit="1" customWidth="1"/>
    <col min="3" max="3" width="11.85546875" customWidth="1"/>
    <col min="4" max="7" width="11.28515625" bestFit="1" customWidth="1"/>
    <col min="8" max="8" width="12" customWidth="1"/>
    <col min="9" max="15" width="11.28515625" bestFit="1" customWidth="1"/>
    <col min="16" max="16" width="10" bestFit="1" customWidth="1"/>
    <col min="17" max="17" width="7.7109375" bestFit="1" customWidth="1"/>
    <col min="18" max="18" width="10.28515625" customWidth="1"/>
    <col min="19" max="19" width="11.140625" bestFit="1" customWidth="1"/>
  </cols>
  <sheetData>
    <row r="1" spans="1:17" x14ac:dyDescent="0.25">
      <c r="A1" s="129"/>
      <c r="B1" s="129"/>
      <c r="C1" s="13"/>
      <c r="D1" s="22"/>
      <c r="E1" s="22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</row>
    <row r="2" spans="1:17" x14ac:dyDescent="0.25">
      <c r="A2" s="13"/>
      <c r="B2" s="13"/>
      <c r="C2" s="13"/>
      <c r="D2" s="22"/>
      <c r="E2" s="22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7"/>
    </row>
    <row r="3" spans="1:17" x14ac:dyDescent="0.25">
      <c r="A3" s="13"/>
      <c r="B3" s="13"/>
      <c r="C3" s="13"/>
      <c r="D3" s="22"/>
      <c r="E3" s="22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7"/>
    </row>
    <row r="4" spans="1:17" x14ac:dyDescent="0.25">
      <c r="A4" s="494"/>
      <c r="B4" s="494"/>
      <c r="C4" s="13"/>
      <c r="D4" s="22"/>
      <c r="E4" s="22"/>
      <c r="F4" s="22"/>
      <c r="G4" s="22"/>
      <c r="H4" s="16"/>
      <c r="I4" s="16"/>
      <c r="J4" s="16"/>
      <c r="K4" s="16"/>
      <c r="L4" s="16"/>
      <c r="M4" s="16"/>
      <c r="N4" s="16"/>
      <c r="O4" s="16"/>
      <c r="P4" s="16"/>
      <c r="Q4" s="17"/>
    </row>
    <row r="5" spans="1:17" x14ac:dyDescent="0.25">
      <c r="A5" s="13"/>
      <c r="B5" s="13"/>
      <c r="C5" s="13"/>
      <c r="D5" s="22"/>
      <c r="E5" s="22"/>
      <c r="F5" s="22"/>
      <c r="G5" s="22"/>
      <c r="H5" s="16"/>
      <c r="I5" s="16"/>
      <c r="J5" s="16"/>
      <c r="K5" s="16"/>
      <c r="L5" s="16"/>
      <c r="M5" s="16"/>
      <c r="N5" s="16"/>
      <c r="O5" s="16"/>
      <c r="P5" s="16"/>
      <c r="Q5" s="17"/>
    </row>
    <row r="6" spans="1:17" x14ac:dyDescent="0.25">
      <c r="A6" s="494"/>
      <c r="B6" s="494"/>
      <c r="C6" s="1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27" spans="1:17" x14ac:dyDescent="0.25">
      <c r="A27" s="493" t="s">
        <v>95</v>
      </c>
      <c r="B27" s="493"/>
      <c r="C27" s="2" t="s">
        <v>96</v>
      </c>
      <c r="D27" s="94" t="s">
        <v>97</v>
      </c>
      <c r="E27" s="94" t="s">
        <v>98</v>
      </c>
      <c r="F27" s="94" t="s">
        <v>99</v>
      </c>
      <c r="G27" s="94" t="s">
        <v>100</v>
      </c>
      <c r="H27" s="94" t="s">
        <v>101</v>
      </c>
      <c r="I27" s="94" t="s">
        <v>102</v>
      </c>
      <c r="J27" s="94" t="s">
        <v>103</v>
      </c>
      <c r="K27" s="94" t="s">
        <v>104</v>
      </c>
      <c r="L27" s="94" t="s">
        <v>105</v>
      </c>
      <c r="M27" s="94" t="s">
        <v>106</v>
      </c>
      <c r="N27" s="94" t="s">
        <v>107</v>
      </c>
      <c r="O27" s="94" t="s">
        <v>108</v>
      </c>
      <c r="P27" s="3" t="s">
        <v>109</v>
      </c>
      <c r="Q27" s="3" t="s">
        <v>110</v>
      </c>
    </row>
    <row r="28" spans="1:17" x14ac:dyDescent="0.25">
      <c r="A28" s="20" t="s">
        <v>111</v>
      </c>
      <c r="B28" s="21">
        <v>0.06</v>
      </c>
      <c r="C28" s="144"/>
      <c r="D28" s="19">
        <v>0.06</v>
      </c>
      <c r="E28" s="19">
        <v>0.06</v>
      </c>
      <c r="F28" s="19">
        <v>0.06</v>
      </c>
      <c r="G28" s="19">
        <v>0.06</v>
      </c>
      <c r="H28" s="19">
        <v>0.06</v>
      </c>
      <c r="I28" s="19">
        <v>0.06</v>
      </c>
      <c r="J28" s="19">
        <v>0.06</v>
      </c>
      <c r="K28" s="19">
        <v>0.06</v>
      </c>
      <c r="L28" s="19">
        <v>0.06</v>
      </c>
      <c r="M28" s="19">
        <v>0.06</v>
      </c>
      <c r="N28" s="19">
        <v>0.06</v>
      </c>
      <c r="O28" s="19">
        <v>0.06</v>
      </c>
      <c r="P28" s="18"/>
      <c r="Q28" s="3"/>
    </row>
    <row r="29" spans="1:17" x14ac:dyDescent="0.25">
      <c r="A29" s="145" t="s">
        <v>117</v>
      </c>
      <c r="B29" s="25"/>
      <c r="C29" s="373">
        <v>4020.83</v>
      </c>
      <c r="D29" s="141">
        <v>4500</v>
      </c>
      <c r="E29" s="141">
        <v>0</v>
      </c>
      <c r="F29" s="141">
        <v>0</v>
      </c>
      <c r="G29" s="141">
        <v>3600</v>
      </c>
      <c r="H29" s="141">
        <v>0</v>
      </c>
      <c r="I29" s="141">
        <v>3300</v>
      </c>
      <c r="J29" s="141">
        <v>0</v>
      </c>
      <c r="K29" s="141"/>
      <c r="L29" s="141"/>
      <c r="M29" s="141"/>
      <c r="N29" s="141"/>
      <c r="O29" s="141"/>
      <c r="P29" s="141">
        <f>AVERAGE(D29:O29)</f>
        <v>1628.5714285714287</v>
      </c>
      <c r="Q29" s="362"/>
    </row>
    <row r="30" spans="1:17" x14ac:dyDescent="0.25">
      <c r="A30" s="500" t="s">
        <v>118</v>
      </c>
      <c r="B30" s="501"/>
      <c r="C30" s="375">
        <v>2504</v>
      </c>
      <c r="D30" s="142">
        <v>0</v>
      </c>
      <c r="E30" s="142">
        <v>0</v>
      </c>
      <c r="F30" s="142">
        <v>2400</v>
      </c>
      <c r="G30" s="142">
        <v>0</v>
      </c>
      <c r="H30" s="142">
        <v>0</v>
      </c>
      <c r="I30" s="142">
        <v>2400</v>
      </c>
      <c r="J30" s="142">
        <v>0</v>
      </c>
      <c r="K30" s="142"/>
      <c r="L30" s="142"/>
      <c r="M30" s="142"/>
      <c r="N30" s="142"/>
      <c r="O30" s="142"/>
      <c r="P30" s="142">
        <v>2400</v>
      </c>
      <c r="Q30" s="372">
        <f>(C30/P30)-1</f>
        <v>4.3333333333333224E-2</v>
      </c>
    </row>
    <row r="31" spans="1:17" x14ac:dyDescent="0.25">
      <c r="A31" s="145" t="s">
        <v>114</v>
      </c>
      <c r="B31" s="25"/>
      <c r="C31" s="374">
        <f>C29/C32</f>
        <v>6.1802825127960773E-2</v>
      </c>
      <c r="D31" s="283">
        <f>D29/D32</f>
        <v>6.1735169840311695E-2</v>
      </c>
      <c r="E31" s="283">
        <f>D31</f>
        <v>6.1735169840311695E-2</v>
      </c>
      <c r="F31" s="283">
        <f>E31</f>
        <v>6.1735169840311695E-2</v>
      </c>
      <c r="G31" s="283">
        <f t="shared" ref="G31:J31" si="0">G29/G32</f>
        <v>5.7042353947806247E-2</v>
      </c>
      <c r="H31" s="283">
        <f t="shared" si="0"/>
        <v>0</v>
      </c>
      <c r="I31" s="283">
        <f t="shared" si="0"/>
        <v>8.8291952054794523E-2</v>
      </c>
      <c r="J31" s="283">
        <f t="shared" si="0"/>
        <v>0</v>
      </c>
      <c r="K31" s="4"/>
      <c r="L31" s="4"/>
      <c r="M31" s="4"/>
      <c r="N31" s="4"/>
      <c r="O31" s="4"/>
      <c r="P31" s="376">
        <f>P29/P32</f>
        <v>3.1697748069634948E-2</v>
      </c>
      <c r="Q31" s="364">
        <f>(C31/P31)-1</f>
        <v>0.94975444287681654</v>
      </c>
    </row>
    <row r="32" spans="1:17" x14ac:dyDescent="0.25">
      <c r="A32" s="145" t="s">
        <v>115</v>
      </c>
      <c r="B32" s="25"/>
      <c r="C32" s="375">
        <v>65059</v>
      </c>
      <c r="D32" s="4">
        <v>72892</v>
      </c>
      <c r="E32" s="4">
        <v>61572</v>
      </c>
      <c r="F32" s="4">
        <v>64537</v>
      </c>
      <c r="G32" s="4">
        <f>'ESG - Energia Eletrica'!G32</f>
        <v>63111</v>
      </c>
      <c r="H32" s="4">
        <v>57090</v>
      </c>
      <c r="I32" s="4">
        <v>37376</v>
      </c>
      <c r="J32" s="4">
        <v>3069</v>
      </c>
      <c r="K32" s="4"/>
      <c r="L32" s="4"/>
      <c r="M32" s="4"/>
      <c r="N32" s="4"/>
      <c r="O32" s="4"/>
      <c r="P32" s="4">
        <f>AVERAGE(D32:O32)</f>
        <v>51378.142857142855</v>
      </c>
      <c r="Q32" s="363"/>
    </row>
    <row r="33" spans="1:17" x14ac:dyDescent="0.25">
      <c r="A33" s="500" t="s">
        <v>423</v>
      </c>
      <c r="B33" s="501"/>
      <c r="C33" s="282">
        <v>0</v>
      </c>
      <c r="D33" s="4">
        <v>45880</v>
      </c>
      <c r="E33" s="4">
        <v>29980</v>
      </c>
      <c r="F33" s="4">
        <v>45400</v>
      </c>
      <c r="G33" s="4">
        <v>37180</v>
      </c>
      <c r="H33" s="4">
        <v>0</v>
      </c>
      <c r="I33" s="4">
        <v>40220</v>
      </c>
      <c r="J33" s="4">
        <v>0</v>
      </c>
      <c r="K33" s="4"/>
      <c r="L33" s="4"/>
      <c r="M33" s="4"/>
      <c r="N33" s="4"/>
      <c r="O33" s="4"/>
      <c r="P33" s="4"/>
    </row>
    <row r="34" spans="1:17" x14ac:dyDescent="0.25">
      <c r="A34" s="13"/>
      <c r="B34" s="13"/>
    </row>
    <row r="35" spans="1:17" x14ac:dyDescent="0.25">
      <c r="A35" s="472" t="s">
        <v>119</v>
      </c>
      <c r="B35" s="472"/>
      <c r="C35" s="472"/>
      <c r="D35" s="222" t="s">
        <v>120</v>
      </c>
      <c r="E35" s="222" t="s">
        <v>121</v>
      </c>
      <c r="F35" s="222" t="s">
        <v>122</v>
      </c>
    </row>
    <row r="36" spans="1:17" x14ac:dyDescent="0.25">
      <c r="A36" s="499" t="s">
        <v>123</v>
      </c>
      <c r="B36" s="499"/>
      <c r="C36" s="499"/>
    </row>
    <row r="37" spans="1:17" x14ac:dyDescent="0.25">
      <c r="A37" s="499" t="s">
        <v>124</v>
      </c>
      <c r="B37" s="499"/>
      <c r="C37" s="499"/>
    </row>
    <row r="40" spans="1:17" x14ac:dyDescent="0.25">
      <c r="A40" s="13"/>
      <c r="B40" s="13"/>
      <c r="C40" s="13"/>
      <c r="D40" s="22"/>
      <c r="E40" s="22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7"/>
    </row>
    <row r="41" spans="1:17" x14ac:dyDescent="0.25">
      <c r="A41" s="13"/>
      <c r="B41" s="13"/>
      <c r="C41" s="13"/>
      <c r="D41" s="22"/>
      <c r="E41" s="22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7"/>
    </row>
    <row r="42" spans="1:17" x14ac:dyDescent="0.25">
      <c r="A42" s="13"/>
      <c r="B42" s="13"/>
      <c r="C42" s="13"/>
      <c r="D42" s="22"/>
      <c r="E42" s="22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7"/>
    </row>
    <row r="43" spans="1:17" x14ac:dyDescent="0.25">
      <c r="A43" s="494"/>
      <c r="B43" s="494"/>
      <c r="C43" s="13"/>
      <c r="D43" s="22"/>
      <c r="E43" s="22"/>
      <c r="F43" s="22"/>
      <c r="G43" s="22"/>
      <c r="H43" s="16"/>
      <c r="I43" s="16"/>
      <c r="J43" s="16"/>
      <c r="K43" s="16"/>
      <c r="L43" s="16"/>
      <c r="M43" s="16"/>
      <c r="N43" s="16"/>
      <c r="O43" s="16"/>
      <c r="P43" s="16"/>
      <c r="Q43" s="17"/>
    </row>
    <row r="44" spans="1:17" x14ac:dyDescent="0.25">
      <c r="A44" s="13"/>
      <c r="B44" s="13"/>
      <c r="C44" s="13"/>
      <c r="D44" s="22"/>
      <c r="E44" s="22"/>
      <c r="F44" s="22"/>
      <c r="G44" s="22"/>
      <c r="H44" s="16"/>
      <c r="I44" s="16"/>
      <c r="J44" s="16"/>
      <c r="K44" s="16"/>
      <c r="L44" s="16"/>
      <c r="M44" s="16"/>
      <c r="N44" s="16"/>
      <c r="O44" s="16"/>
      <c r="P44" s="16"/>
      <c r="Q44" s="17"/>
    </row>
    <row r="45" spans="1:17" x14ac:dyDescent="0.25">
      <c r="A45" s="494"/>
      <c r="B45" s="494"/>
      <c r="C45" s="1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66" spans="1:17" x14ac:dyDescent="0.25">
      <c r="A66" s="493" t="s">
        <v>95</v>
      </c>
      <c r="B66" s="493"/>
      <c r="C66" s="2" t="s">
        <v>96</v>
      </c>
      <c r="D66" s="94" t="s">
        <v>97</v>
      </c>
      <c r="E66" s="94" t="s">
        <v>98</v>
      </c>
      <c r="F66" s="94" t="s">
        <v>99</v>
      </c>
      <c r="G66" s="94" t="s">
        <v>100</v>
      </c>
      <c r="H66" s="94" t="s">
        <v>101</v>
      </c>
      <c r="I66" s="94" t="s">
        <v>102</v>
      </c>
      <c r="J66" s="94" t="s">
        <v>103</v>
      </c>
      <c r="K66" s="94" t="s">
        <v>104</v>
      </c>
      <c r="L66" s="94" t="s">
        <v>105</v>
      </c>
      <c r="M66" s="94" t="s">
        <v>106</v>
      </c>
      <c r="N66" s="94" t="s">
        <v>107</v>
      </c>
      <c r="O66" s="94" t="s">
        <v>108</v>
      </c>
      <c r="P66" s="3" t="s">
        <v>109</v>
      </c>
      <c r="Q66" s="3" t="s">
        <v>110</v>
      </c>
    </row>
    <row r="67" spans="1:17" x14ac:dyDescent="0.25">
      <c r="A67" s="20" t="s">
        <v>111</v>
      </c>
      <c r="B67" s="21">
        <v>0.5</v>
      </c>
      <c r="C67" s="144"/>
      <c r="D67" s="19">
        <v>0.5</v>
      </c>
      <c r="E67" s="19">
        <v>0.5</v>
      </c>
      <c r="F67" s="19">
        <v>0.5</v>
      </c>
      <c r="G67" s="19">
        <v>0.5</v>
      </c>
      <c r="H67" s="19">
        <v>0.5</v>
      </c>
      <c r="I67" s="19">
        <v>0.5</v>
      </c>
      <c r="J67" s="19">
        <v>0.5</v>
      </c>
      <c r="K67" s="19">
        <v>0.5</v>
      </c>
      <c r="L67" s="19">
        <v>0.5</v>
      </c>
      <c r="M67" s="19">
        <v>0.5</v>
      </c>
      <c r="N67" s="19">
        <v>0.5</v>
      </c>
      <c r="O67" s="19">
        <v>0.5</v>
      </c>
      <c r="P67" s="18"/>
      <c r="Q67" s="3"/>
    </row>
    <row r="68" spans="1:17" x14ac:dyDescent="0.25">
      <c r="A68" s="145" t="s">
        <v>112</v>
      </c>
      <c r="B68" s="25"/>
      <c r="C68" s="387">
        <v>20699.89</v>
      </c>
      <c r="D68" s="41">
        <v>26842.61</v>
      </c>
      <c r="E68" s="41">
        <v>34664.959999999999</v>
      </c>
      <c r="F68" s="41">
        <v>31884</v>
      </c>
      <c r="G68" s="41">
        <v>32736.19</v>
      </c>
      <c r="H68" s="41">
        <v>41520.42</v>
      </c>
      <c r="I68" s="142">
        <v>0</v>
      </c>
      <c r="J68" s="142">
        <v>0</v>
      </c>
      <c r="K68" s="142"/>
      <c r="L68" s="142"/>
      <c r="M68" s="142"/>
      <c r="N68" s="142"/>
      <c r="O68" s="142"/>
      <c r="P68" s="141">
        <f>AVERAGE(D68:O68)</f>
        <v>23949.739999999998</v>
      </c>
      <c r="Q68" s="338">
        <f>P68/C68</f>
        <v>1.1569984188321774</v>
      </c>
    </row>
    <row r="69" spans="1:17" x14ac:dyDescent="0.25">
      <c r="A69" s="145" t="s">
        <v>125</v>
      </c>
      <c r="B69" s="25"/>
      <c r="C69" s="387">
        <v>1200</v>
      </c>
      <c r="D69" s="4">
        <f>D79</f>
        <v>1000</v>
      </c>
      <c r="E69" s="4">
        <f t="shared" ref="E69:G69" si="1">E79</f>
        <v>1200</v>
      </c>
      <c r="F69" s="4">
        <f t="shared" si="1"/>
        <v>1200</v>
      </c>
      <c r="G69" s="4">
        <f t="shared" si="1"/>
        <v>1200</v>
      </c>
      <c r="H69" s="4">
        <f>H79</f>
        <v>1400</v>
      </c>
      <c r="I69" s="142">
        <f t="shared" ref="I69:J69" si="2">I79</f>
        <v>0</v>
      </c>
      <c r="J69" s="142">
        <f t="shared" si="2"/>
        <v>0</v>
      </c>
      <c r="K69" s="142"/>
      <c r="L69" s="142"/>
      <c r="M69" s="142"/>
      <c r="N69" s="142"/>
      <c r="O69" s="142"/>
      <c r="P69" s="141"/>
      <c r="Q69" s="337"/>
    </row>
    <row r="70" spans="1:17" x14ac:dyDescent="0.25">
      <c r="A70" s="145" t="s">
        <v>420</v>
      </c>
      <c r="B70" s="25"/>
      <c r="C70" s="390">
        <f t="shared" ref="C70:G70" si="3">C69/C72</f>
        <v>1.8458982602408896E-2</v>
      </c>
      <c r="D70" s="367">
        <f t="shared" si="3"/>
        <v>1.3718926631180376E-2</v>
      </c>
      <c r="E70" s="367">
        <f t="shared" si="3"/>
        <v>1.9489378288832588E-2</v>
      </c>
      <c r="F70" s="367">
        <f t="shared" si="3"/>
        <v>1.8593984845902349E-2</v>
      </c>
      <c r="G70" s="367">
        <f t="shared" si="3"/>
        <v>1.7209729233593391E-2</v>
      </c>
      <c r="H70" s="367">
        <f>H69/H72</f>
        <v>2.4522683482221055E-2</v>
      </c>
      <c r="I70" s="367">
        <f t="shared" ref="I70:J70" si="4">I69/I72</f>
        <v>0</v>
      </c>
      <c r="J70" s="367">
        <f t="shared" si="4"/>
        <v>0</v>
      </c>
      <c r="K70" s="142"/>
      <c r="L70" s="142"/>
      <c r="M70" s="142"/>
      <c r="N70" s="142"/>
      <c r="O70" s="142"/>
      <c r="P70" s="368">
        <f>AVERAGE(D70:O70)</f>
        <v>1.3362100354532823E-2</v>
      </c>
      <c r="Q70" s="337"/>
    </row>
    <row r="71" spans="1:17" x14ac:dyDescent="0.25">
      <c r="A71" s="145" t="s">
        <v>421</v>
      </c>
      <c r="B71" s="25"/>
      <c r="C71" s="388">
        <f>C68/C72</f>
        <v>0.31841575781814824</v>
      </c>
      <c r="D71" s="283">
        <f>D68/D72</f>
        <v>0.36825179717938872</v>
      </c>
      <c r="E71" s="283">
        <f t="shared" ref="E71:J71" si="5">E68/E72</f>
        <v>0.56299876567270835</v>
      </c>
      <c r="F71" s="283">
        <f t="shared" si="5"/>
        <v>0.49404217735562544</v>
      </c>
      <c r="G71" s="283">
        <f t="shared" si="5"/>
        <v>0.46948413836622299</v>
      </c>
      <c r="H71" s="283">
        <f t="shared" si="5"/>
        <v>0.72728008407777189</v>
      </c>
      <c r="I71" s="283">
        <f t="shared" si="5"/>
        <v>0</v>
      </c>
      <c r="J71" s="283">
        <f t="shared" si="5"/>
        <v>0</v>
      </c>
      <c r="K71" s="4"/>
      <c r="L71" s="4"/>
      <c r="M71" s="4"/>
      <c r="N71" s="4"/>
      <c r="O71" s="4"/>
      <c r="P71" s="141">
        <f>P68/P72</f>
        <v>0.45772497433545195</v>
      </c>
      <c r="Q71" s="338">
        <f>P71/C71</f>
        <v>1.4375072938345759</v>
      </c>
    </row>
    <row r="72" spans="1:17" x14ac:dyDescent="0.25">
      <c r="A72" s="145" t="s">
        <v>115</v>
      </c>
      <c r="B72" s="25"/>
      <c r="C72" s="389">
        <v>65009</v>
      </c>
      <c r="D72" s="4">
        <v>72892</v>
      </c>
      <c r="E72" s="4">
        <v>61572</v>
      </c>
      <c r="F72" s="4">
        <v>64537</v>
      </c>
      <c r="G72" s="4">
        <v>69728</v>
      </c>
      <c r="H72" s="4">
        <v>57090</v>
      </c>
      <c r="I72" s="4">
        <v>37376</v>
      </c>
      <c r="J72" s="4">
        <v>3069</v>
      </c>
      <c r="K72" s="4"/>
      <c r="L72" s="4"/>
      <c r="M72" s="4"/>
      <c r="N72" s="4"/>
      <c r="O72" s="4"/>
      <c r="P72" s="142">
        <f>AVERAGE(D72:O72)</f>
        <v>52323.428571428572</v>
      </c>
      <c r="Q72" s="338">
        <f>P72/C72</f>
        <v>0.80486438141532057</v>
      </c>
    </row>
    <row r="74" spans="1:17" x14ac:dyDescent="0.25">
      <c r="A74" s="336" t="s">
        <v>126</v>
      </c>
      <c r="B74" s="336" t="s">
        <v>127</v>
      </c>
      <c r="C74" s="336" t="s">
        <v>96</v>
      </c>
      <c r="D74" s="114" t="s">
        <v>128</v>
      </c>
      <c r="E74" s="114" t="s">
        <v>129</v>
      </c>
      <c r="F74" s="114" t="s">
        <v>130</v>
      </c>
      <c r="G74" s="114" t="s">
        <v>131</v>
      </c>
      <c r="H74" s="114" t="s">
        <v>132</v>
      </c>
      <c r="I74" s="114" t="s">
        <v>133</v>
      </c>
      <c r="J74" s="114" t="s">
        <v>134</v>
      </c>
      <c r="K74" s="114" t="s">
        <v>135</v>
      </c>
      <c r="L74" s="114" t="s">
        <v>136</v>
      </c>
      <c r="M74" s="114" t="s">
        <v>137</v>
      </c>
      <c r="N74" s="114" t="s">
        <v>138</v>
      </c>
      <c r="O74" s="114" t="s">
        <v>139</v>
      </c>
      <c r="P74" s="94" t="s">
        <v>140</v>
      </c>
      <c r="Q74" s="377" t="s">
        <v>141</v>
      </c>
    </row>
    <row r="75" spans="1:17" x14ac:dyDescent="0.25">
      <c r="A75" s="336" t="s">
        <v>142</v>
      </c>
      <c r="B75" s="366" t="s">
        <v>143</v>
      </c>
      <c r="C75" s="336"/>
      <c r="D75" s="104">
        <v>200</v>
      </c>
      <c r="E75" s="104">
        <v>200</v>
      </c>
      <c r="F75" s="104">
        <v>200</v>
      </c>
      <c r="G75" s="104">
        <v>200</v>
      </c>
      <c r="H75" s="104">
        <v>400</v>
      </c>
      <c r="I75" s="104">
        <v>0</v>
      </c>
      <c r="J75" s="104">
        <v>0</v>
      </c>
      <c r="K75" s="104"/>
      <c r="L75" s="104"/>
      <c r="M75" s="104"/>
      <c r="N75" s="104"/>
      <c r="O75" s="104"/>
      <c r="P75" s="3">
        <f>SUM(D75:O75)</f>
        <v>1200</v>
      </c>
      <c r="Q75">
        <f>AVERAGE(D75:H75)</f>
        <v>240</v>
      </c>
    </row>
    <row r="76" spans="1:17" x14ac:dyDescent="0.25">
      <c r="A76" s="336" t="s">
        <v>144</v>
      </c>
      <c r="B76" s="366" t="s">
        <v>143</v>
      </c>
      <c r="C76" s="336"/>
      <c r="D76" s="104">
        <v>400</v>
      </c>
      <c r="E76" s="104">
        <v>800</v>
      </c>
      <c r="F76" s="104">
        <v>800</v>
      </c>
      <c r="G76" s="104">
        <v>600</v>
      </c>
      <c r="H76" s="104">
        <v>800</v>
      </c>
      <c r="I76" s="104">
        <v>0</v>
      </c>
      <c r="J76" s="104">
        <v>0</v>
      </c>
      <c r="K76" s="104"/>
      <c r="L76" s="104"/>
      <c r="M76" s="104"/>
      <c r="N76" s="104"/>
      <c r="O76" s="104"/>
      <c r="P76" s="3">
        <f t="shared" ref="P76:P79" si="6">SUM(D76:O76)</f>
        <v>3400</v>
      </c>
    </row>
    <row r="77" spans="1:17" x14ac:dyDescent="0.25">
      <c r="A77" s="336" t="s">
        <v>145</v>
      </c>
      <c r="B77" s="366" t="s">
        <v>143</v>
      </c>
      <c r="C77" s="336"/>
      <c r="D77" s="104">
        <v>200</v>
      </c>
      <c r="E77" s="104">
        <v>0</v>
      </c>
      <c r="F77" s="104">
        <v>200</v>
      </c>
      <c r="G77" s="104">
        <v>200</v>
      </c>
      <c r="H77" s="104">
        <v>200</v>
      </c>
      <c r="I77" s="104">
        <v>0</v>
      </c>
      <c r="J77" s="104">
        <v>0</v>
      </c>
      <c r="K77" s="104"/>
      <c r="L77" s="104"/>
      <c r="M77" s="104"/>
      <c r="N77" s="104"/>
      <c r="O77" s="104"/>
      <c r="P77" s="3">
        <f t="shared" si="6"/>
        <v>800</v>
      </c>
    </row>
    <row r="78" spans="1:17" x14ac:dyDescent="0.25">
      <c r="A78" s="336" t="s">
        <v>146</v>
      </c>
      <c r="B78" s="336" t="s">
        <v>147</v>
      </c>
      <c r="C78" s="336"/>
      <c r="D78" s="104">
        <v>200</v>
      </c>
      <c r="E78" s="104">
        <v>200</v>
      </c>
      <c r="F78" s="104">
        <v>0</v>
      </c>
      <c r="G78" s="104">
        <v>200</v>
      </c>
      <c r="H78" s="104">
        <v>0</v>
      </c>
      <c r="I78" s="104">
        <v>0</v>
      </c>
      <c r="J78" s="104">
        <v>0</v>
      </c>
      <c r="K78" s="104"/>
      <c r="L78" s="104"/>
      <c r="M78" s="104"/>
      <c r="N78" s="104"/>
      <c r="O78" s="104"/>
      <c r="P78" s="3">
        <f t="shared" si="6"/>
        <v>600</v>
      </c>
    </row>
    <row r="79" spans="1:17" x14ac:dyDescent="0.25">
      <c r="A79" s="336" t="s">
        <v>140</v>
      </c>
      <c r="B79" s="336"/>
      <c r="C79" s="336"/>
      <c r="D79" s="114">
        <f>SUM(D75:D78)</f>
        <v>1000</v>
      </c>
      <c r="E79" s="114">
        <f>SUM(E75:E78)</f>
        <v>1200</v>
      </c>
      <c r="F79" s="114">
        <f>SUM(F75:F78)</f>
        <v>1200</v>
      </c>
      <c r="G79" s="114">
        <f>SUM(G75:G78)</f>
        <v>1200</v>
      </c>
      <c r="H79" s="114">
        <f>SUM(H75:H78)</f>
        <v>1400</v>
      </c>
      <c r="I79" s="114">
        <f t="shared" ref="I79:O79" si="7">SUM(I75:I78)</f>
        <v>0</v>
      </c>
      <c r="J79" s="114">
        <f t="shared" si="7"/>
        <v>0</v>
      </c>
      <c r="K79" s="114">
        <f t="shared" si="7"/>
        <v>0</v>
      </c>
      <c r="L79" s="114">
        <f t="shared" si="7"/>
        <v>0</v>
      </c>
      <c r="M79" s="114">
        <f t="shared" si="7"/>
        <v>0</v>
      </c>
      <c r="N79" s="114">
        <f t="shared" si="7"/>
        <v>0</v>
      </c>
      <c r="O79" s="114">
        <f t="shared" si="7"/>
        <v>0</v>
      </c>
      <c r="P79" s="3">
        <f t="shared" si="6"/>
        <v>6000</v>
      </c>
    </row>
    <row r="81" spans="1:9" x14ac:dyDescent="0.25">
      <c r="A81" s="472" t="s">
        <v>148</v>
      </c>
      <c r="B81" s="472"/>
      <c r="C81" s="472"/>
      <c r="D81" s="222" t="s">
        <v>149</v>
      </c>
      <c r="E81" s="222" t="s">
        <v>121</v>
      </c>
      <c r="F81" s="222" t="s">
        <v>122</v>
      </c>
    </row>
    <row r="82" spans="1:9" x14ac:dyDescent="0.25">
      <c r="A82" s="499" t="s">
        <v>150</v>
      </c>
      <c r="B82" s="499"/>
      <c r="C82" s="499"/>
    </row>
    <row r="88" spans="1:9" x14ac:dyDescent="0.25">
      <c r="A88" s="502">
        <v>2025</v>
      </c>
      <c r="B88" s="502"/>
      <c r="C88" s="502"/>
      <c r="D88" s="502"/>
      <c r="F88" s="498">
        <v>2026</v>
      </c>
      <c r="G88" s="498"/>
      <c r="H88" s="498"/>
      <c r="I88" s="498"/>
    </row>
    <row r="89" spans="1:9" x14ac:dyDescent="0.25">
      <c r="A89" s="370">
        <v>2025</v>
      </c>
      <c r="B89" s="370" t="s">
        <v>123</v>
      </c>
      <c r="C89" s="369"/>
      <c r="D89" s="369"/>
      <c r="F89" s="370">
        <v>20265</v>
      </c>
      <c r="G89" s="370" t="s">
        <v>123</v>
      </c>
      <c r="H89" s="369"/>
      <c r="I89" s="369"/>
    </row>
    <row r="90" spans="1:9" x14ac:dyDescent="0.25">
      <c r="A90" t="s">
        <v>151</v>
      </c>
      <c r="B90" s="499" t="s">
        <v>152</v>
      </c>
      <c r="C90" s="499"/>
      <c r="D90" t="s">
        <v>153</v>
      </c>
      <c r="F90" t="s">
        <v>151</v>
      </c>
      <c r="G90" s="499" t="s">
        <v>152</v>
      </c>
      <c r="H90" s="499"/>
      <c r="I90" t="s">
        <v>153</v>
      </c>
    </row>
    <row r="91" spans="1:9" x14ac:dyDescent="0.25">
      <c r="A91" t="s">
        <v>154</v>
      </c>
      <c r="B91" s="495">
        <v>250004428402</v>
      </c>
      <c r="C91" s="495"/>
      <c r="D91">
        <v>1850</v>
      </c>
      <c r="F91" t="s">
        <v>155</v>
      </c>
      <c r="G91" s="495">
        <v>260011026114</v>
      </c>
      <c r="H91" s="495"/>
      <c r="I91">
        <v>2400</v>
      </c>
    </row>
    <row r="92" spans="1:9" x14ac:dyDescent="0.25">
      <c r="A92" t="s">
        <v>156</v>
      </c>
      <c r="B92" s="495">
        <v>250005069585</v>
      </c>
      <c r="C92" s="495"/>
      <c r="D92">
        <v>2700</v>
      </c>
      <c r="F92" t="s">
        <v>157</v>
      </c>
      <c r="G92" s="495">
        <v>260012468269</v>
      </c>
      <c r="H92" s="495"/>
      <c r="I92">
        <v>2400</v>
      </c>
    </row>
    <row r="93" spans="1:9" x14ac:dyDescent="0.25">
      <c r="A93" t="s">
        <v>158</v>
      </c>
      <c r="B93" s="495">
        <v>250005341738</v>
      </c>
      <c r="C93" s="495"/>
      <c r="D93">
        <v>3500</v>
      </c>
    </row>
    <row r="94" spans="1:9" x14ac:dyDescent="0.25">
      <c r="A94" t="s">
        <v>159</v>
      </c>
      <c r="B94" s="495">
        <v>250005530031</v>
      </c>
      <c r="C94" s="495"/>
      <c r="D94">
        <v>1600</v>
      </c>
    </row>
    <row r="95" spans="1:9" x14ac:dyDescent="0.25">
      <c r="A95" t="s">
        <v>160</v>
      </c>
      <c r="B95" s="495">
        <v>250005768434</v>
      </c>
      <c r="C95" s="495"/>
      <c r="D95">
        <v>2000</v>
      </c>
    </row>
    <row r="96" spans="1:9" x14ac:dyDescent="0.25">
      <c r="A96" t="s">
        <v>161</v>
      </c>
      <c r="B96" s="495">
        <v>250005982056</v>
      </c>
      <c r="C96" s="495"/>
      <c r="D96">
        <v>2000</v>
      </c>
    </row>
    <row r="97" spans="1:9" x14ac:dyDescent="0.25">
      <c r="A97" t="s">
        <v>162</v>
      </c>
      <c r="B97" s="495">
        <v>250006262892</v>
      </c>
      <c r="C97" s="495"/>
      <c r="D97">
        <v>2900</v>
      </c>
    </row>
    <row r="98" spans="1:9" x14ac:dyDescent="0.25">
      <c r="A98" t="s">
        <v>163</v>
      </c>
      <c r="B98" s="495">
        <v>250006704487</v>
      </c>
      <c r="C98" s="495"/>
      <c r="D98">
        <v>2200</v>
      </c>
    </row>
    <row r="99" spans="1:9" x14ac:dyDescent="0.25">
      <c r="A99" t="s">
        <v>164</v>
      </c>
      <c r="B99" s="495">
        <v>250007685790</v>
      </c>
      <c r="C99" s="495"/>
      <c r="D99">
        <v>4200</v>
      </c>
    </row>
    <row r="100" spans="1:9" x14ac:dyDescent="0.25">
      <c r="A100" t="s">
        <v>165</v>
      </c>
      <c r="B100" s="495">
        <v>250007898157</v>
      </c>
      <c r="C100" s="495"/>
      <c r="D100">
        <v>2400</v>
      </c>
    </row>
    <row r="101" spans="1:9" x14ac:dyDescent="0.25">
      <c r="A101" t="s">
        <v>166</v>
      </c>
      <c r="B101" s="495">
        <v>250008319430</v>
      </c>
      <c r="C101" s="495"/>
      <c r="D101">
        <v>2300</v>
      </c>
    </row>
    <row r="102" spans="1:9" x14ac:dyDescent="0.25">
      <c r="A102" t="s">
        <v>167</v>
      </c>
      <c r="B102" s="495">
        <v>250008623690</v>
      </c>
      <c r="C102" s="495"/>
      <c r="D102">
        <v>3600</v>
      </c>
    </row>
    <row r="103" spans="1:9" x14ac:dyDescent="0.25">
      <c r="A103" t="s">
        <v>168</v>
      </c>
      <c r="B103" s="495">
        <v>250009513788</v>
      </c>
      <c r="C103" s="495"/>
      <c r="D103">
        <v>1300</v>
      </c>
    </row>
    <row r="104" spans="1:9" x14ac:dyDescent="0.25">
      <c r="B104" s="499"/>
      <c r="C104" s="499"/>
    </row>
    <row r="105" spans="1:9" x14ac:dyDescent="0.25">
      <c r="B105" s="499"/>
      <c r="C105" s="499"/>
    </row>
    <row r="106" spans="1:9" x14ac:dyDescent="0.25">
      <c r="B106" s="496" t="s">
        <v>169</v>
      </c>
      <c r="C106" s="496"/>
      <c r="D106" s="370">
        <f>SUM(D91:D105)</f>
        <v>32550</v>
      </c>
      <c r="G106" s="496" t="s">
        <v>417</v>
      </c>
      <c r="H106" s="496"/>
      <c r="I106" s="370">
        <f>SUM(I91:I105)</f>
        <v>4800</v>
      </c>
    </row>
    <row r="107" spans="1:9" x14ac:dyDescent="0.25">
      <c r="B107" s="497" t="s">
        <v>170</v>
      </c>
      <c r="C107" s="497"/>
      <c r="D107" s="371">
        <f>AVERAGE(D91:D103)</f>
        <v>2503.8461538461538</v>
      </c>
      <c r="G107" s="498" t="s">
        <v>418</v>
      </c>
      <c r="H107" s="498"/>
      <c r="I107" s="379">
        <f>AVERAGE(I91:I103)</f>
        <v>2400</v>
      </c>
    </row>
    <row r="108" spans="1:9" x14ac:dyDescent="0.25">
      <c r="B108" s="499"/>
      <c r="C108" s="499"/>
    </row>
  </sheetData>
  <mergeCells count="39">
    <mergeCell ref="B90:C90"/>
    <mergeCell ref="A88:D88"/>
    <mergeCell ref="F88:I88"/>
    <mergeCell ref="B108:C108"/>
    <mergeCell ref="B91:C91"/>
    <mergeCell ref="G90:H90"/>
    <mergeCell ref="G91:H91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A4:B4"/>
    <mergeCell ref="A6:B6"/>
    <mergeCell ref="A27:B27"/>
    <mergeCell ref="A82:C82"/>
    <mergeCell ref="A35:C35"/>
    <mergeCell ref="A45:B45"/>
    <mergeCell ref="A66:B66"/>
    <mergeCell ref="A81:C81"/>
    <mergeCell ref="A43:B43"/>
    <mergeCell ref="A30:B30"/>
    <mergeCell ref="A33:B33"/>
    <mergeCell ref="A36:C36"/>
    <mergeCell ref="A37:C37"/>
    <mergeCell ref="B95:C95"/>
    <mergeCell ref="B106:C106"/>
    <mergeCell ref="B107:C107"/>
    <mergeCell ref="G92:H92"/>
    <mergeCell ref="B92:C92"/>
    <mergeCell ref="G106:H106"/>
    <mergeCell ref="G107:H107"/>
    <mergeCell ref="B93:C93"/>
    <mergeCell ref="B94:C94"/>
    <mergeCell ref="B100:C100"/>
  </mergeCells>
  <conditionalFormatting sqref="Q30:Q31">
    <cfRule type="cellIs" dxfId="4" priority="2" operator="greaterThan">
      <formula>0</formula>
    </cfRule>
  </conditionalFormatting>
  <conditionalFormatting sqref="Q68:Q72">
    <cfRule type="cellIs" dxfId="3" priority="1" operator="greaterThan">
      <formula>1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915C-C492-4689-83A2-C6BE71196E89}">
  <sheetPr>
    <pageSetUpPr fitToPage="1"/>
  </sheetPr>
  <dimension ref="A21:AF91"/>
  <sheetViews>
    <sheetView showGridLines="0" zoomScaleNormal="100" workbookViewId="0">
      <selection activeCell="Q65" sqref="Q65"/>
    </sheetView>
  </sheetViews>
  <sheetFormatPr defaultRowHeight="15" x14ac:dyDescent="0.25"/>
  <cols>
    <col min="3" max="9" width="10.140625" bestFit="1" customWidth="1"/>
  </cols>
  <sheetData>
    <row r="21" spans="1:32" x14ac:dyDescent="0.25">
      <c r="A21" s="104" t="s">
        <v>171</v>
      </c>
      <c r="B21" s="104">
        <v>2025</v>
      </c>
      <c r="C21" s="104" t="s">
        <v>97</v>
      </c>
      <c r="D21" s="104" t="s">
        <v>98</v>
      </c>
      <c r="E21" s="104" t="s">
        <v>99</v>
      </c>
      <c r="F21" s="104" t="s">
        <v>100</v>
      </c>
      <c r="G21" s="104" t="s">
        <v>101</v>
      </c>
      <c r="H21" s="104" t="s">
        <v>102</v>
      </c>
      <c r="I21" s="104" t="s">
        <v>103</v>
      </c>
      <c r="J21" s="104" t="s">
        <v>104</v>
      </c>
      <c r="K21" s="104" t="s">
        <v>105</v>
      </c>
      <c r="L21" s="104" t="s">
        <v>106</v>
      </c>
      <c r="M21" s="104" t="s">
        <v>107</v>
      </c>
      <c r="N21" s="104" t="s">
        <v>108</v>
      </c>
      <c r="Q21" s="104" t="s">
        <v>171</v>
      </c>
      <c r="R21" s="104">
        <v>2024</v>
      </c>
      <c r="S21" s="104">
        <v>2025</v>
      </c>
      <c r="T21" s="104" t="s">
        <v>97</v>
      </c>
      <c r="U21" s="104" t="s">
        <v>98</v>
      </c>
      <c r="V21" s="104" t="s">
        <v>99</v>
      </c>
      <c r="W21" s="104" t="s">
        <v>100</v>
      </c>
      <c r="X21" s="104" t="s">
        <v>101</v>
      </c>
      <c r="Y21" s="104" t="s">
        <v>102</v>
      </c>
      <c r="Z21" s="104" t="s">
        <v>103</v>
      </c>
      <c r="AA21" s="104" t="s">
        <v>104</v>
      </c>
      <c r="AB21" s="104" t="s">
        <v>105</v>
      </c>
      <c r="AC21" s="104" t="s">
        <v>106</v>
      </c>
      <c r="AD21" s="104" t="s">
        <v>107</v>
      </c>
      <c r="AE21" s="104" t="s">
        <v>108</v>
      </c>
      <c r="AF21" s="112" t="s">
        <v>141</v>
      </c>
    </row>
    <row r="22" spans="1:32" x14ac:dyDescent="0.25">
      <c r="A22" s="104" t="s">
        <v>172</v>
      </c>
      <c r="B22" s="104">
        <v>0</v>
      </c>
      <c r="C22" s="105">
        <v>46024</v>
      </c>
      <c r="D22" s="105">
        <v>0</v>
      </c>
      <c r="E22" s="105">
        <v>46098</v>
      </c>
      <c r="F22" s="105">
        <v>0</v>
      </c>
      <c r="G22" s="105">
        <v>1</v>
      </c>
      <c r="H22" s="105">
        <v>1</v>
      </c>
      <c r="I22" s="105">
        <v>1</v>
      </c>
      <c r="J22" s="105"/>
      <c r="K22" s="105"/>
      <c r="L22" s="105"/>
      <c r="M22" s="105"/>
      <c r="N22" s="104"/>
      <c r="Q22" s="104" t="s">
        <v>173</v>
      </c>
      <c r="R22" s="104"/>
      <c r="S22" s="104"/>
      <c r="T22" s="104">
        <f>8010.15+1355.2</f>
        <v>9365.35</v>
      </c>
      <c r="U22" s="104">
        <f>6956.75+1232</f>
        <v>8188.75</v>
      </c>
      <c r="V22" s="104">
        <f>7523.6+1161.6</f>
        <v>8685.2000000000007</v>
      </c>
      <c r="W22" s="104">
        <f>7640+1161.6</f>
        <v>8801.6</v>
      </c>
      <c r="X22" s="104">
        <f>7317.7+1108</f>
        <v>8425.7000000000007</v>
      </c>
      <c r="Y22" s="104">
        <f>7504.3+1161.6</f>
        <v>8665.9</v>
      </c>
      <c r="Z22" s="104">
        <f>6475.2+1214.4</f>
        <v>7689.6</v>
      </c>
      <c r="AA22" s="104"/>
      <c r="AB22" s="104"/>
      <c r="AC22" s="113"/>
      <c r="AD22" s="104"/>
      <c r="AE22" s="104"/>
      <c r="AF22" s="3"/>
    </row>
    <row r="23" spans="1:32" x14ac:dyDescent="0.25">
      <c r="A23" s="104" t="s">
        <v>174</v>
      </c>
      <c r="B23" s="104">
        <v>0</v>
      </c>
      <c r="C23" s="105">
        <v>46035</v>
      </c>
      <c r="D23" s="105">
        <v>0</v>
      </c>
      <c r="E23" s="105">
        <v>46104</v>
      </c>
      <c r="F23" s="105">
        <v>0</v>
      </c>
      <c r="G23" s="105">
        <v>1</v>
      </c>
      <c r="H23" s="105">
        <v>1</v>
      </c>
      <c r="I23" s="105">
        <v>1</v>
      </c>
      <c r="J23" s="105"/>
      <c r="K23" s="105"/>
      <c r="L23" s="105"/>
      <c r="M23" s="105"/>
      <c r="N23" s="104"/>
      <c r="Q23" s="104" t="s">
        <v>175</v>
      </c>
      <c r="R23" s="104"/>
      <c r="S23" s="104"/>
      <c r="T23" s="104">
        <f>263.5+26.4</f>
        <v>289.89999999999998</v>
      </c>
      <c r="U23" s="104">
        <f>130.15+55.6</f>
        <v>185.75</v>
      </c>
      <c r="V23" s="104">
        <f>151.5+18</f>
        <v>169.5</v>
      </c>
      <c r="W23" s="104">
        <f>141.55+20.4</f>
        <v>161.95000000000002</v>
      </c>
      <c r="X23" s="104">
        <f>243.4+85.2</f>
        <v>328.6</v>
      </c>
      <c r="Y23" s="104">
        <f>4.55+101.95</f>
        <v>106.5</v>
      </c>
      <c r="Z23" s="104">
        <v>14.4</v>
      </c>
      <c r="AA23" s="104"/>
      <c r="AB23" s="104"/>
      <c r="AC23" s="113"/>
      <c r="AD23" s="104"/>
      <c r="AE23" s="104"/>
      <c r="AF23" s="3"/>
    </row>
    <row r="24" spans="1:32" x14ac:dyDescent="0.25">
      <c r="A24" s="104" t="s">
        <v>176</v>
      </c>
      <c r="B24" s="104">
        <v>0</v>
      </c>
      <c r="C24" s="106">
        <f t="shared" ref="C24:I24" si="0">NETWORKDAYS(C22,C23,0)</f>
        <v>8</v>
      </c>
      <c r="D24" s="106">
        <f t="shared" si="0"/>
        <v>0</v>
      </c>
      <c r="E24" s="106">
        <f t="shared" si="0"/>
        <v>5</v>
      </c>
      <c r="F24" s="106">
        <f t="shared" si="0"/>
        <v>0</v>
      </c>
      <c r="G24" s="106">
        <f t="shared" si="0"/>
        <v>0</v>
      </c>
      <c r="H24" s="106">
        <f t="shared" si="0"/>
        <v>0</v>
      </c>
      <c r="I24" s="106">
        <f t="shared" si="0"/>
        <v>0</v>
      </c>
      <c r="J24" s="106"/>
      <c r="K24" s="106"/>
      <c r="L24" s="106"/>
      <c r="M24" s="106"/>
      <c r="N24" s="106"/>
      <c r="Q24" s="114" t="s">
        <v>177</v>
      </c>
      <c r="R24" s="115">
        <v>2.1999999999999999E-2</v>
      </c>
      <c r="S24" s="115">
        <v>2.8799999999999999E-2</v>
      </c>
      <c r="T24" s="116">
        <f t="shared" ref="T24:AE24" si="1">T23/T22</f>
        <v>3.0954529195385112E-2</v>
      </c>
      <c r="U24" s="116">
        <f t="shared" si="1"/>
        <v>2.2683559761868418E-2</v>
      </c>
      <c r="V24" s="116">
        <f t="shared" si="1"/>
        <v>1.9515958181734443E-2</v>
      </c>
      <c r="W24" s="116">
        <f t="shared" si="1"/>
        <v>1.8400063624795494E-2</v>
      </c>
      <c r="X24" s="116">
        <f t="shared" si="1"/>
        <v>3.8999727025647718E-2</v>
      </c>
      <c r="Y24" s="116">
        <f t="shared" si="1"/>
        <v>1.2289548690845729E-2</v>
      </c>
      <c r="Z24" s="116">
        <f t="shared" si="1"/>
        <v>1.8726591760299626E-3</v>
      </c>
      <c r="AA24" s="116" t="e">
        <f t="shared" si="1"/>
        <v>#DIV/0!</v>
      </c>
      <c r="AB24" s="116" t="e">
        <f t="shared" si="1"/>
        <v>#DIV/0!</v>
      </c>
      <c r="AC24" s="116" t="e">
        <f t="shared" si="1"/>
        <v>#DIV/0!</v>
      </c>
      <c r="AD24" s="116" t="e">
        <f t="shared" si="1"/>
        <v>#DIV/0!</v>
      </c>
      <c r="AE24" s="116" t="e">
        <f t="shared" si="1"/>
        <v>#DIV/0!</v>
      </c>
      <c r="AF24" s="117" t="e">
        <f>AVERAGE(T24:AE24)</f>
        <v>#DIV/0!</v>
      </c>
    </row>
    <row r="25" spans="1:32" x14ac:dyDescent="0.25">
      <c r="A25" s="107" t="s">
        <v>178</v>
      </c>
      <c r="B25" s="290"/>
      <c r="C25" s="108">
        <v>20</v>
      </c>
      <c r="D25" s="109">
        <v>20</v>
      </c>
      <c r="E25" s="109">
        <v>20</v>
      </c>
      <c r="F25" s="109">
        <v>20</v>
      </c>
      <c r="G25" s="109">
        <v>20</v>
      </c>
      <c r="H25" s="109">
        <v>20</v>
      </c>
      <c r="I25" s="109">
        <v>20</v>
      </c>
      <c r="J25" s="109">
        <v>20</v>
      </c>
      <c r="K25" s="109">
        <v>20</v>
      </c>
      <c r="L25" s="109">
        <v>20</v>
      </c>
      <c r="M25" s="109">
        <v>20</v>
      </c>
      <c r="N25" s="110">
        <v>20</v>
      </c>
      <c r="Q25" s="503" t="s">
        <v>178</v>
      </c>
      <c r="R25" s="504"/>
      <c r="S25" s="504"/>
      <c r="T25" s="118">
        <v>0.03</v>
      </c>
      <c r="U25" s="119">
        <v>0.03</v>
      </c>
      <c r="V25" s="119">
        <v>0.03</v>
      </c>
      <c r="W25" s="119">
        <v>0.03</v>
      </c>
      <c r="X25" s="119">
        <v>0.03</v>
      </c>
      <c r="Y25" s="119">
        <v>0.03</v>
      </c>
      <c r="Z25" s="119">
        <v>0.03</v>
      </c>
      <c r="AA25" s="119">
        <v>0.03</v>
      </c>
      <c r="AB25" s="119">
        <v>0.03</v>
      </c>
      <c r="AC25" s="119">
        <v>0.03</v>
      </c>
      <c r="AD25" s="119">
        <v>0.03</v>
      </c>
      <c r="AE25" s="120">
        <v>0.03</v>
      </c>
      <c r="AF25" s="121">
        <v>0.03</v>
      </c>
    </row>
    <row r="27" spans="1:32" x14ac:dyDescent="0.25">
      <c r="A27" s="111" t="s">
        <v>179</v>
      </c>
      <c r="B27" s="111"/>
    </row>
    <row r="50" spans="1:32" x14ac:dyDescent="0.25">
      <c r="Q50" s="104" t="s">
        <v>171</v>
      </c>
      <c r="R50" s="104">
        <v>2024</v>
      </c>
      <c r="S50" s="104">
        <v>2025</v>
      </c>
      <c r="T50" s="104" t="s">
        <v>97</v>
      </c>
      <c r="U50" s="104" t="s">
        <v>98</v>
      </c>
      <c r="V50" s="104" t="s">
        <v>99</v>
      </c>
      <c r="W50" s="104" t="s">
        <v>100</v>
      </c>
      <c r="X50" s="104" t="s">
        <v>101</v>
      </c>
      <c r="Y50" s="104" t="s">
        <v>102</v>
      </c>
      <c r="Z50" s="104" t="s">
        <v>103</v>
      </c>
      <c r="AA50" s="104" t="s">
        <v>104</v>
      </c>
      <c r="AB50" s="104" t="s">
        <v>105</v>
      </c>
      <c r="AC50" s="104" t="s">
        <v>106</v>
      </c>
      <c r="AD50" s="104" t="s">
        <v>107</v>
      </c>
      <c r="AE50" s="104" t="s">
        <v>108</v>
      </c>
    </row>
    <row r="51" spans="1:32" x14ac:dyDescent="0.25">
      <c r="A51" s="104" t="s">
        <v>171</v>
      </c>
      <c r="B51" s="104">
        <v>2025</v>
      </c>
      <c r="C51" s="104" t="s">
        <v>97</v>
      </c>
      <c r="D51" s="104" t="s">
        <v>98</v>
      </c>
      <c r="E51" s="104" t="s">
        <v>99</v>
      </c>
      <c r="F51" s="104" t="s">
        <v>100</v>
      </c>
      <c r="G51" s="104" t="s">
        <v>101</v>
      </c>
      <c r="H51" s="104" t="s">
        <v>102</v>
      </c>
      <c r="I51" s="104" t="s">
        <v>103</v>
      </c>
      <c r="J51" s="104" t="s">
        <v>104</v>
      </c>
      <c r="K51" s="104" t="s">
        <v>105</v>
      </c>
      <c r="L51" s="104" t="s">
        <v>106</v>
      </c>
      <c r="M51" s="104" t="s">
        <v>107</v>
      </c>
      <c r="N51" s="104" t="s">
        <v>108</v>
      </c>
      <c r="Q51" s="104" t="s">
        <v>180</v>
      </c>
      <c r="R51" s="104"/>
      <c r="S51" s="104"/>
      <c r="T51" s="104">
        <v>5</v>
      </c>
      <c r="U51" s="104">
        <v>0</v>
      </c>
      <c r="V51" s="104">
        <v>2</v>
      </c>
      <c r="W51" s="104">
        <v>0</v>
      </c>
      <c r="X51" s="104">
        <v>0</v>
      </c>
      <c r="Y51" s="104">
        <v>0</v>
      </c>
      <c r="Z51" s="104">
        <v>0</v>
      </c>
      <c r="AA51" s="104"/>
      <c r="AB51" s="104"/>
      <c r="AC51" s="104"/>
      <c r="AD51" s="104"/>
      <c r="AE51" s="104"/>
      <c r="AF51">
        <f>SUM(T51:AE51)</f>
        <v>7</v>
      </c>
    </row>
    <row r="52" spans="1:32" x14ac:dyDescent="0.25">
      <c r="A52" s="104" t="s">
        <v>181</v>
      </c>
      <c r="B52" s="104"/>
      <c r="C52" s="127">
        <v>98</v>
      </c>
      <c r="D52" s="127">
        <v>8</v>
      </c>
      <c r="E52" s="127">
        <v>132</v>
      </c>
      <c r="F52" s="127">
        <v>94</v>
      </c>
      <c r="G52" s="127">
        <f>42.05+225</f>
        <v>267.05</v>
      </c>
      <c r="H52" s="127">
        <v>25.25</v>
      </c>
      <c r="I52" s="127"/>
      <c r="J52" s="127"/>
      <c r="K52" s="127"/>
      <c r="L52" s="127"/>
      <c r="M52" s="127"/>
      <c r="N52" s="127"/>
      <c r="O52" s="22">
        <f>SUM(C52:N52)</f>
        <v>624.29999999999995</v>
      </c>
      <c r="Q52" s="104" t="s">
        <v>182</v>
      </c>
      <c r="R52" s="104"/>
      <c r="S52" s="104"/>
      <c r="T52" s="104">
        <v>1</v>
      </c>
      <c r="U52" s="104">
        <v>3</v>
      </c>
      <c r="V52" s="104">
        <v>3</v>
      </c>
      <c r="W52" s="104">
        <v>2</v>
      </c>
      <c r="X52" s="104">
        <v>1</v>
      </c>
      <c r="Y52" s="104">
        <v>7</v>
      </c>
      <c r="Z52" s="104">
        <v>0</v>
      </c>
      <c r="AA52" s="104"/>
      <c r="AB52" s="104"/>
      <c r="AC52" s="104"/>
      <c r="AD52" s="104"/>
      <c r="AE52" s="104"/>
      <c r="AF52">
        <f>SUM(T52:AE52)</f>
        <v>17</v>
      </c>
    </row>
    <row r="53" spans="1:32" x14ac:dyDescent="0.25">
      <c r="A53" s="104" t="s">
        <v>183</v>
      </c>
      <c r="B53" s="104"/>
      <c r="C53" s="127">
        <f>C52</f>
        <v>98</v>
      </c>
      <c r="D53" s="127">
        <f>D52+C53</f>
        <v>106</v>
      </c>
      <c r="E53" s="127">
        <f>E52+D53</f>
        <v>238</v>
      </c>
      <c r="F53" s="127">
        <f>F52+E53</f>
        <v>332</v>
      </c>
      <c r="G53" s="127">
        <f>G52+F53</f>
        <v>599.04999999999995</v>
      </c>
      <c r="H53" s="127">
        <f>H52+G53</f>
        <v>624.29999999999995</v>
      </c>
      <c r="I53" s="127"/>
      <c r="J53" s="127"/>
      <c r="K53" s="127"/>
      <c r="L53" s="127"/>
      <c r="M53" s="127"/>
      <c r="N53" s="127"/>
      <c r="O53" s="22"/>
      <c r="Q53" s="104" t="s">
        <v>184</v>
      </c>
      <c r="R53" s="104"/>
      <c r="S53" s="104"/>
      <c r="T53" s="106">
        <f>43+8</f>
        <v>51</v>
      </c>
      <c r="U53" s="106">
        <v>48</v>
      </c>
      <c r="V53" s="106">
        <v>47</v>
      </c>
      <c r="W53" s="106">
        <f>38+7</f>
        <v>45</v>
      </c>
      <c r="X53" s="106">
        <v>44</v>
      </c>
      <c r="Y53" s="106">
        <v>39</v>
      </c>
      <c r="Z53" s="106">
        <v>39</v>
      </c>
      <c r="AA53" s="106"/>
      <c r="AB53" s="106"/>
      <c r="AC53" s="106"/>
      <c r="AD53" s="106"/>
      <c r="AE53" s="106"/>
      <c r="AF53" s="122">
        <f xml:space="preserve"> MEDIAN(T53:AA53)</f>
        <v>45</v>
      </c>
    </row>
    <row r="54" spans="1:32" x14ac:dyDescent="0.25">
      <c r="A54" s="153" t="s">
        <v>178</v>
      </c>
      <c r="B54" s="291"/>
      <c r="C54" s="154">
        <v>720</v>
      </c>
      <c r="D54" s="155">
        <v>720</v>
      </c>
      <c r="E54" s="155">
        <v>720</v>
      </c>
      <c r="F54" s="155">
        <v>720</v>
      </c>
      <c r="G54" s="155">
        <v>720</v>
      </c>
      <c r="H54" s="155">
        <v>720</v>
      </c>
      <c r="I54" s="155">
        <v>720</v>
      </c>
      <c r="J54" s="155">
        <v>720</v>
      </c>
      <c r="K54" s="155">
        <v>720</v>
      </c>
      <c r="L54" s="155">
        <v>720</v>
      </c>
      <c r="M54" s="155">
        <v>720</v>
      </c>
      <c r="N54" s="156">
        <v>720</v>
      </c>
      <c r="O54" s="27">
        <f>O52/C54</f>
        <v>0.86708333333333332</v>
      </c>
      <c r="Q54" s="104" t="s">
        <v>177</v>
      </c>
      <c r="R54" s="104">
        <v>6.94</v>
      </c>
      <c r="S54" s="113">
        <v>4.08</v>
      </c>
      <c r="T54" s="346">
        <f>(((T51+T52)/2)/T53)*100</f>
        <v>5.8823529411764701</v>
      </c>
      <c r="U54" s="347">
        <f>(((U51+U52)/2)/U53)*100</f>
        <v>3.125</v>
      </c>
      <c r="V54" s="347">
        <f>(((V51+V52)/2)/V53)*100</f>
        <v>5.3191489361702127</v>
      </c>
      <c r="W54" s="347">
        <f>(((W51+W52)/2)/W53)*100</f>
        <v>2.2222222222222223</v>
      </c>
      <c r="X54" s="347">
        <f>(((X51+X52)/2)/X53)*100</f>
        <v>1.1363636363636365</v>
      </c>
      <c r="Y54" s="347">
        <f t="shared" ref="Y54:Z54" si="2">(((Y51+Y52)/2)/Y53)*100</f>
        <v>8.9743589743589745</v>
      </c>
      <c r="Z54" s="347">
        <f t="shared" si="2"/>
        <v>0</v>
      </c>
      <c r="AA54" s="113"/>
      <c r="AB54" s="113"/>
      <c r="AC54" s="113"/>
      <c r="AD54" s="113"/>
      <c r="AE54" s="113"/>
      <c r="AF54" s="123">
        <f>AVERAGE(T54:AE54)</f>
        <v>3.808492387184502</v>
      </c>
    </row>
    <row r="55" spans="1:32" x14ac:dyDescent="0.25">
      <c r="Q55" s="124" t="s">
        <v>178</v>
      </c>
      <c r="R55" s="124"/>
      <c r="S55" s="124"/>
      <c r="T55" s="125">
        <v>5</v>
      </c>
      <c r="U55" s="126">
        <v>5</v>
      </c>
      <c r="V55" s="126">
        <v>5</v>
      </c>
      <c r="W55" s="126">
        <v>5</v>
      </c>
      <c r="X55" s="126">
        <v>5</v>
      </c>
      <c r="Y55" s="126">
        <v>5</v>
      </c>
      <c r="Z55" s="126">
        <v>5</v>
      </c>
      <c r="AA55" s="126">
        <v>5</v>
      </c>
      <c r="AB55" s="126">
        <v>5</v>
      </c>
      <c r="AC55" s="126">
        <v>5</v>
      </c>
      <c r="AD55" s="126">
        <v>5</v>
      </c>
      <c r="AE55" s="126">
        <v>5</v>
      </c>
    </row>
    <row r="76" spans="1:16" x14ac:dyDescent="0.25">
      <c r="A76" s="104" t="s">
        <v>171</v>
      </c>
      <c r="B76" s="104">
        <v>2025</v>
      </c>
      <c r="C76" s="104" t="s">
        <v>97</v>
      </c>
      <c r="D76" s="104" t="s">
        <v>98</v>
      </c>
      <c r="E76" s="104" t="s">
        <v>99</v>
      </c>
      <c r="F76" s="104" t="s">
        <v>100</v>
      </c>
      <c r="G76" s="104" t="s">
        <v>101</v>
      </c>
      <c r="H76" s="104" t="s">
        <v>102</v>
      </c>
      <c r="I76" s="104" t="s">
        <v>103</v>
      </c>
      <c r="J76" s="104" t="s">
        <v>104</v>
      </c>
      <c r="K76" s="104" t="s">
        <v>105</v>
      </c>
      <c r="L76" s="104" t="s">
        <v>106</v>
      </c>
      <c r="M76" s="104" t="s">
        <v>107</v>
      </c>
      <c r="N76" s="104" t="s">
        <v>108</v>
      </c>
      <c r="O76" s="104" t="s">
        <v>141</v>
      </c>
      <c r="P76" s="104" t="s">
        <v>185</v>
      </c>
    </row>
    <row r="77" spans="1:16" x14ac:dyDescent="0.25">
      <c r="A77" s="104" t="s">
        <v>186</v>
      </c>
      <c r="B77" s="127">
        <v>3408.48</v>
      </c>
      <c r="C77" s="127">
        <v>4337.8999999999996</v>
      </c>
      <c r="D77" s="127">
        <v>3704.5</v>
      </c>
      <c r="E77" s="127">
        <v>4679.05</v>
      </c>
      <c r="F77" s="127">
        <v>4184.55</v>
      </c>
      <c r="G77" s="127">
        <v>3998.23</v>
      </c>
      <c r="H77" s="127">
        <v>2741.8</v>
      </c>
      <c r="I77" s="127">
        <v>0</v>
      </c>
      <c r="J77" s="127"/>
      <c r="K77" s="127"/>
      <c r="L77" s="127"/>
      <c r="M77" s="127"/>
      <c r="N77" s="127"/>
      <c r="O77" s="127">
        <f>AVERAGE(C77:N77)</f>
        <v>3378.0042857142857</v>
      </c>
      <c r="P77" s="41">
        <f>SUM(C77:N77)</f>
        <v>23646.03</v>
      </c>
    </row>
    <row r="78" spans="1:16" x14ac:dyDescent="0.25">
      <c r="A78" s="104" t="s">
        <v>187</v>
      </c>
      <c r="B78" s="104">
        <v>124</v>
      </c>
      <c r="C78" s="324">
        <f>SUM(C80:C90)</f>
        <v>205</v>
      </c>
      <c r="D78" s="324">
        <f t="shared" ref="D78:F78" si="3">SUM(D80:D90)</f>
        <v>163</v>
      </c>
      <c r="E78" s="324">
        <f t="shared" si="3"/>
        <v>35</v>
      </c>
      <c r="F78" s="324">
        <f t="shared" si="3"/>
        <v>81</v>
      </c>
      <c r="G78" s="324">
        <f>SUM(G80:G91)</f>
        <v>237</v>
      </c>
      <c r="H78" s="324">
        <f>SUM(H80:H91)</f>
        <v>96</v>
      </c>
      <c r="I78" s="324">
        <v>0</v>
      </c>
      <c r="J78" s="324"/>
      <c r="K78" s="324"/>
      <c r="L78" s="324"/>
      <c r="M78" s="324"/>
      <c r="N78" s="324"/>
      <c r="O78" s="127">
        <f>AVERAGE(C78:N78)</f>
        <v>116.71428571428571</v>
      </c>
      <c r="P78" s="41">
        <f>SUM(C78:N78)</f>
        <v>817</v>
      </c>
    </row>
    <row r="79" spans="1:16" x14ac:dyDescent="0.25">
      <c r="A79" s="153"/>
      <c r="B79" s="291"/>
      <c r="C79" s="154"/>
      <c r="D79" s="155">
        <v>720</v>
      </c>
      <c r="E79" s="155">
        <v>720</v>
      </c>
      <c r="F79" s="155">
        <v>720</v>
      </c>
      <c r="G79" s="155">
        <v>720</v>
      </c>
      <c r="H79" s="155">
        <v>720</v>
      </c>
      <c r="I79" s="155">
        <v>720</v>
      </c>
      <c r="J79" s="155">
        <v>720</v>
      </c>
      <c r="K79" s="155">
        <v>720</v>
      </c>
      <c r="L79" s="155">
        <v>720</v>
      </c>
      <c r="M79" s="155">
        <v>720</v>
      </c>
      <c r="N79" s="156">
        <v>720</v>
      </c>
    </row>
    <row r="80" spans="1:16" ht="15.75" x14ac:dyDescent="0.25">
      <c r="A80" s="326" t="s">
        <v>188</v>
      </c>
      <c r="B80" s="327"/>
      <c r="C80" s="325">
        <v>7</v>
      </c>
      <c r="D80" s="325">
        <v>4</v>
      </c>
      <c r="E80" s="325">
        <v>4</v>
      </c>
      <c r="F80" s="325">
        <v>1</v>
      </c>
      <c r="G80" s="325">
        <v>2</v>
      </c>
      <c r="H80" s="325">
        <v>0</v>
      </c>
      <c r="I80" s="94">
        <v>0</v>
      </c>
      <c r="J80" s="3"/>
      <c r="K80" s="3"/>
      <c r="L80" s="3"/>
      <c r="M80" s="3"/>
      <c r="N80" s="3"/>
      <c r="O80" s="3"/>
      <c r="P80" s="94">
        <f>SUM(C80:N80)</f>
        <v>18</v>
      </c>
    </row>
    <row r="81" spans="1:16" ht="15.75" x14ac:dyDescent="0.25">
      <c r="A81" s="326" t="s">
        <v>189</v>
      </c>
      <c r="B81" s="327"/>
      <c r="C81" s="325">
        <v>60</v>
      </c>
      <c r="D81" s="325">
        <v>19</v>
      </c>
      <c r="E81" s="325">
        <v>20</v>
      </c>
      <c r="F81" s="325">
        <v>40</v>
      </c>
      <c r="G81" s="325">
        <v>40</v>
      </c>
      <c r="H81" s="325">
        <v>27</v>
      </c>
      <c r="I81" s="94">
        <v>0</v>
      </c>
      <c r="J81" s="3"/>
      <c r="K81" s="3"/>
      <c r="L81" s="3"/>
      <c r="M81" s="3"/>
      <c r="N81" s="3"/>
      <c r="O81" s="3"/>
      <c r="P81" s="94">
        <f t="shared" ref="P81:P91" si="4">SUM(C81:N81)</f>
        <v>206</v>
      </c>
    </row>
    <row r="82" spans="1:16" ht="15.75" x14ac:dyDescent="0.25">
      <c r="A82" s="326" t="s">
        <v>190</v>
      </c>
      <c r="B82" s="327"/>
      <c r="C82" s="325">
        <v>5</v>
      </c>
      <c r="D82" s="325">
        <v>0</v>
      </c>
      <c r="E82" s="325">
        <v>0</v>
      </c>
      <c r="F82" s="325">
        <v>0</v>
      </c>
      <c r="G82" s="325">
        <v>0</v>
      </c>
      <c r="H82" s="325">
        <v>2</v>
      </c>
      <c r="I82" s="94">
        <v>0</v>
      </c>
      <c r="J82" s="3"/>
      <c r="K82" s="3"/>
      <c r="L82" s="3"/>
      <c r="M82" s="3"/>
      <c r="N82" s="3"/>
      <c r="O82" s="3"/>
      <c r="P82" s="94">
        <f t="shared" si="4"/>
        <v>7</v>
      </c>
    </row>
    <row r="83" spans="1:16" ht="15.75" x14ac:dyDescent="0.25">
      <c r="A83" s="508" t="s">
        <v>191</v>
      </c>
      <c r="B83" s="509"/>
      <c r="C83" s="325">
        <v>0</v>
      </c>
      <c r="D83" s="325">
        <v>0</v>
      </c>
      <c r="E83" s="325">
        <v>0</v>
      </c>
      <c r="F83" s="325">
        <v>0</v>
      </c>
      <c r="G83" s="325">
        <v>50</v>
      </c>
      <c r="H83" s="325">
        <v>0</v>
      </c>
      <c r="I83" s="94">
        <v>0</v>
      </c>
      <c r="J83" s="3"/>
      <c r="K83" s="3"/>
      <c r="L83" s="3"/>
      <c r="M83" s="3"/>
      <c r="N83" s="3"/>
      <c r="O83" s="3"/>
      <c r="P83" s="94">
        <f t="shared" si="4"/>
        <v>50</v>
      </c>
    </row>
    <row r="84" spans="1:16" ht="15.75" x14ac:dyDescent="0.25">
      <c r="A84" s="326" t="s">
        <v>192</v>
      </c>
      <c r="B84" s="327"/>
      <c r="C84" s="325">
        <v>20</v>
      </c>
      <c r="D84" s="325">
        <v>0</v>
      </c>
      <c r="E84" s="325">
        <v>0</v>
      </c>
      <c r="F84" s="325">
        <v>0</v>
      </c>
      <c r="G84" s="325">
        <v>0</v>
      </c>
      <c r="H84" s="325">
        <v>0</v>
      </c>
      <c r="I84" s="94">
        <v>0</v>
      </c>
      <c r="J84" s="3"/>
      <c r="K84" s="3"/>
      <c r="L84" s="3"/>
      <c r="M84" s="3"/>
      <c r="N84" s="3"/>
      <c r="O84" s="3"/>
      <c r="P84" s="94">
        <f t="shared" si="4"/>
        <v>20</v>
      </c>
    </row>
    <row r="85" spans="1:16" ht="15.75" x14ac:dyDescent="0.25">
      <c r="A85" s="326" t="s">
        <v>193</v>
      </c>
      <c r="B85" s="327"/>
      <c r="C85" s="325">
        <v>10</v>
      </c>
      <c r="D85" s="325">
        <v>70</v>
      </c>
      <c r="E85" s="325">
        <v>10</v>
      </c>
      <c r="F85" s="325">
        <v>0</v>
      </c>
      <c r="G85" s="325">
        <v>59</v>
      </c>
      <c r="H85" s="325">
        <v>20</v>
      </c>
      <c r="I85" s="94">
        <v>0</v>
      </c>
      <c r="J85" s="3"/>
      <c r="K85" s="3"/>
      <c r="L85" s="3"/>
      <c r="M85" s="3"/>
      <c r="N85" s="3"/>
      <c r="O85" s="3"/>
      <c r="P85" s="94">
        <f t="shared" si="4"/>
        <v>169</v>
      </c>
    </row>
    <row r="86" spans="1:16" ht="15.75" x14ac:dyDescent="0.25">
      <c r="A86" s="326" t="s">
        <v>194</v>
      </c>
      <c r="B86" s="327"/>
      <c r="C86" s="325">
        <v>60</v>
      </c>
      <c r="D86" s="325">
        <v>70</v>
      </c>
      <c r="E86" s="325">
        <v>0</v>
      </c>
      <c r="F86" s="325">
        <v>40</v>
      </c>
      <c r="G86" s="325">
        <v>62</v>
      </c>
      <c r="H86" s="325">
        <v>27</v>
      </c>
      <c r="I86" s="94">
        <v>0</v>
      </c>
      <c r="J86" s="3"/>
      <c r="K86" s="3"/>
      <c r="L86" s="3"/>
      <c r="M86" s="3"/>
      <c r="N86" s="3"/>
      <c r="O86" s="3"/>
      <c r="P86" s="94">
        <f t="shared" si="4"/>
        <v>259</v>
      </c>
    </row>
    <row r="87" spans="1:16" ht="15.75" x14ac:dyDescent="0.25">
      <c r="A87" s="326" t="s">
        <v>195</v>
      </c>
      <c r="B87" s="327"/>
      <c r="C87" s="325">
        <v>40</v>
      </c>
      <c r="D87" s="325">
        <v>0</v>
      </c>
      <c r="E87" s="325">
        <v>0</v>
      </c>
      <c r="F87" s="325">
        <v>0</v>
      </c>
      <c r="G87" s="325">
        <v>20</v>
      </c>
      <c r="H87" s="325">
        <v>0</v>
      </c>
      <c r="I87" s="94">
        <v>0</v>
      </c>
      <c r="J87" s="3"/>
      <c r="K87" s="3"/>
      <c r="L87" s="3"/>
      <c r="M87" s="3"/>
      <c r="N87" s="3"/>
      <c r="O87" s="3"/>
      <c r="P87" s="94">
        <f t="shared" si="4"/>
        <v>60</v>
      </c>
    </row>
    <row r="88" spans="1:16" ht="15.75" x14ac:dyDescent="0.25">
      <c r="A88" s="326" t="s">
        <v>196</v>
      </c>
      <c r="B88" s="327"/>
      <c r="C88" s="325">
        <v>2</v>
      </c>
      <c r="D88" s="325">
        <v>0</v>
      </c>
      <c r="E88" s="325">
        <v>0</v>
      </c>
      <c r="F88" s="325">
        <v>0</v>
      </c>
      <c r="G88" s="325">
        <v>0</v>
      </c>
      <c r="H88" s="325">
        <v>0</v>
      </c>
      <c r="I88" s="94">
        <v>0</v>
      </c>
      <c r="J88" s="3"/>
      <c r="K88" s="3"/>
      <c r="L88" s="3"/>
      <c r="M88" s="3"/>
      <c r="N88" s="3"/>
      <c r="O88" s="3"/>
      <c r="P88" s="94">
        <f t="shared" si="4"/>
        <v>2</v>
      </c>
    </row>
    <row r="89" spans="1:16" ht="15.75" x14ac:dyDescent="0.25">
      <c r="A89" s="505" t="s">
        <v>197</v>
      </c>
      <c r="B89" s="506"/>
      <c r="C89" s="325">
        <v>1</v>
      </c>
      <c r="D89" s="325">
        <v>0</v>
      </c>
      <c r="E89" s="325">
        <v>0</v>
      </c>
      <c r="F89" s="325">
        <v>0</v>
      </c>
      <c r="G89" s="325">
        <v>0</v>
      </c>
      <c r="H89" s="325">
        <v>20</v>
      </c>
      <c r="I89" s="94">
        <v>0</v>
      </c>
      <c r="J89" s="3"/>
      <c r="K89" s="3"/>
      <c r="L89" s="3"/>
      <c r="M89" s="3"/>
      <c r="N89" s="3"/>
      <c r="O89" s="3"/>
      <c r="P89" s="94">
        <f t="shared" si="4"/>
        <v>21</v>
      </c>
    </row>
    <row r="90" spans="1:16" ht="15.75" x14ac:dyDescent="0.25">
      <c r="A90" s="326" t="s">
        <v>198</v>
      </c>
      <c r="B90" s="327"/>
      <c r="C90" s="325">
        <v>0</v>
      </c>
      <c r="D90" s="325">
        <v>0</v>
      </c>
      <c r="E90" s="325">
        <v>1</v>
      </c>
      <c r="F90" s="325">
        <v>0</v>
      </c>
      <c r="G90" s="325">
        <v>0</v>
      </c>
      <c r="H90" s="325">
        <v>0</v>
      </c>
      <c r="I90" s="94">
        <v>0</v>
      </c>
      <c r="J90" s="3"/>
      <c r="K90" s="3"/>
      <c r="L90" s="3"/>
      <c r="M90" s="3"/>
      <c r="N90" s="3"/>
      <c r="O90" s="3"/>
      <c r="P90" s="94">
        <f t="shared" si="4"/>
        <v>1</v>
      </c>
    </row>
    <row r="91" spans="1:16" ht="15.75" x14ac:dyDescent="0.25">
      <c r="A91" s="507" t="s">
        <v>199</v>
      </c>
      <c r="B91" s="507"/>
      <c r="C91" s="94">
        <v>0</v>
      </c>
      <c r="D91" s="94">
        <v>0</v>
      </c>
      <c r="E91" s="94">
        <v>0</v>
      </c>
      <c r="F91" s="325">
        <v>0</v>
      </c>
      <c r="G91" s="325">
        <v>4</v>
      </c>
      <c r="H91" s="325">
        <v>0</v>
      </c>
      <c r="I91" s="94">
        <v>0</v>
      </c>
      <c r="J91" s="3"/>
      <c r="K91" s="3"/>
      <c r="L91" s="3"/>
      <c r="M91" s="3"/>
      <c r="N91" s="3"/>
      <c r="O91" s="3"/>
      <c r="P91" s="94">
        <f t="shared" si="4"/>
        <v>4</v>
      </c>
    </row>
  </sheetData>
  <mergeCells count="4">
    <mergeCell ref="Q25:S25"/>
    <mergeCell ref="A89:B89"/>
    <mergeCell ref="A91:B91"/>
    <mergeCell ref="A83:B83"/>
  </mergeCells>
  <printOptions horizontalCentered="1" verticalCentered="1"/>
  <pageMargins left="0.31496062992125984" right="0.31496062992125984" top="0.78740157480314965" bottom="0.78740157480314965" header="0.31496062992125984" footer="0.31496062992125984"/>
  <pageSetup paperSize="9" scale="47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BEA2C-37F2-4F3A-8C4B-8C7EC655CAC2}">
  <sheetPr>
    <pageSetUpPr fitToPage="1"/>
  </sheetPr>
  <dimension ref="A22:T94"/>
  <sheetViews>
    <sheetView showGridLines="0" topLeftCell="A70" zoomScale="64" zoomScaleNormal="64" workbookViewId="0">
      <selection activeCell="P92" sqref="P92"/>
    </sheetView>
  </sheetViews>
  <sheetFormatPr defaultRowHeight="15" x14ac:dyDescent="0.25"/>
  <cols>
    <col min="1" max="1" width="11.28515625" bestFit="1" customWidth="1"/>
    <col min="2" max="2" width="15.28515625" bestFit="1" customWidth="1"/>
    <col min="3" max="3" width="11.85546875" customWidth="1"/>
    <col min="4" max="15" width="11.28515625" bestFit="1" customWidth="1"/>
    <col min="16" max="16" width="11.7109375" bestFit="1" customWidth="1"/>
    <col min="17" max="17" width="16" customWidth="1"/>
    <col min="18" max="18" width="10" customWidth="1"/>
    <col min="19" max="19" width="11.140625" bestFit="1" customWidth="1"/>
  </cols>
  <sheetData>
    <row r="22" spans="1:17" x14ac:dyDescent="0.25">
      <c r="A22" s="493" t="s">
        <v>95</v>
      </c>
      <c r="B22" s="493"/>
      <c r="C22" s="2"/>
      <c r="D22" s="3" t="s">
        <v>97</v>
      </c>
      <c r="E22" s="3" t="s">
        <v>98</v>
      </c>
      <c r="F22" s="3" t="s">
        <v>99</v>
      </c>
      <c r="G22" s="3" t="s">
        <v>100</v>
      </c>
      <c r="H22" s="3" t="s">
        <v>101</v>
      </c>
      <c r="I22" s="3" t="s">
        <v>102</v>
      </c>
      <c r="J22" s="3" t="s">
        <v>103</v>
      </c>
      <c r="K22" s="3" t="s">
        <v>104</v>
      </c>
      <c r="L22" s="3" t="s">
        <v>105</v>
      </c>
      <c r="M22" s="3" t="s">
        <v>106</v>
      </c>
      <c r="N22" s="3" t="s">
        <v>107</v>
      </c>
      <c r="O22" s="3" t="s">
        <v>108</v>
      </c>
      <c r="P22" s="3" t="s">
        <v>200</v>
      </c>
      <c r="Q22" s="3" t="s">
        <v>110</v>
      </c>
    </row>
    <row r="23" spans="1:17" x14ac:dyDescent="0.25">
      <c r="A23" s="20" t="s">
        <v>178</v>
      </c>
      <c r="B23" s="21">
        <f>[2]Resultados!$C$8</f>
        <v>1529281.38</v>
      </c>
      <c r="C23" s="21"/>
      <c r="D23" s="19">
        <f>[2]Resultados!$C$8</f>
        <v>1529281.38</v>
      </c>
      <c r="E23" s="19">
        <f>[2]Resultados!$C$8</f>
        <v>1529281.38</v>
      </c>
      <c r="F23" s="19">
        <f>[2]Resultados!$C$8</f>
        <v>1529281.38</v>
      </c>
      <c r="G23" s="19">
        <f>[2]Resultados!$C$8</f>
        <v>1529281.38</v>
      </c>
      <c r="H23" s="19">
        <f>[2]Resultados!$C$8</f>
        <v>1529281.38</v>
      </c>
      <c r="I23" s="19">
        <f>[2]Resultados!$C$8</f>
        <v>1529281.38</v>
      </c>
      <c r="J23" s="19">
        <f>[2]Resultados!$C$8</f>
        <v>1529281.38</v>
      </c>
      <c r="K23" s="19">
        <f>[2]Resultados!$C$8</f>
        <v>1529281.38</v>
      </c>
      <c r="L23" s="19">
        <f>[2]Resultados!$C$8</f>
        <v>1529281.38</v>
      </c>
      <c r="M23" s="19">
        <f>[2]Resultados!$C$8</f>
        <v>1529281.38</v>
      </c>
      <c r="N23" s="19">
        <f>[2]Resultados!$C$8</f>
        <v>1529281.38</v>
      </c>
      <c r="O23" s="19">
        <f>[2]Resultados!$C$8</f>
        <v>1529281.38</v>
      </c>
      <c r="P23" s="18"/>
      <c r="Q23" s="3"/>
    </row>
    <row r="24" spans="1:17" x14ac:dyDescent="0.25">
      <c r="A24" s="493" t="s">
        <v>201</v>
      </c>
      <c r="B24" s="493"/>
      <c r="C24" s="2"/>
      <c r="D24" s="132">
        <v>74592</v>
      </c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1"/>
      <c r="Q24" s="3"/>
    </row>
    <row r="25" spans="1:17" x14ac:dyDescent="0.25">
      <c r="A25" s="493" t="s">
        <v>202</v>
      </c>
      <c r="B25" s="493"/>
      <c r="C25" s="2"/>
      <c r="D25" s="147">
        <f>12169+PROCESSOS!C24</f>
        <v>15523.75</v>
      </c>
      <c r="E25" s="4">
        <f>7000+PROCESSOS!D24</f>
        <v>10354.75</v>
      </c>
      <c r="F25" s="4">
        <f>3071.1+PROCESSOS!E24</f>
        <v>6425.85</v>
      </c>
      <c r="G25" s="4">
        <f>PROCESSOS!F24+COMPRAS!F25</f>
        <v>5685.32</v>
      </c>
      <c r="H25" s="4">
        <f>MANUTENÇÃO!G25</f>
        <v>3350</v>
      </c>
      <c r="I25" s="4">
        <f>COMPRAS!H25</f>
        <v>680</v>
      </c>
      <c r="J25" s="4">
        <f>COMPRAS!I25</f>
        <v>2977.89</v>
      </c>
      <c r="K25" s="4">
        <f>COMPRAS!J25</f>
        <v>2977.89</v>
      </c>
      <c r="L25" s="4">
        <f>COMPRAS!K25</f>
        <v>2977.89</v>
      </c>
      <c r="M25" s="4">
        <f>COMPRAS!L25</f>
        <v>2977.89</v>
      </c>
      <c r="N25" s="4">
        <f>COMPRAS!M25</f>
        <v>2977.89</v>
      </c>
      <c r="O25" s="4">
        <f>COMPRAS!N25</f>
        <v>2977.89</v>
      </c>
      <c r="P25" s="4">
        <f>SUM(D25:O25)</f>
        <v>59887.009999999995</v>
      </c>
      <c r="Q25" s="5">
        <f>(P25/B23)*100</f>
        <v>3.9160229623668079</v>
      </c>
    </row>
    <row r="26" spans="1:17" x14ac:dyDescent="0.25">
      <c r="A26" s="493" t="s">
        <v>203</v>
      </c>
      <c r="B26" s="493"/>
      <c r="C26" s="2"/>
      <c r="D26" s="4">
        <f>D25</f>
        <v>15523.75</v>
      </c>
      <c r="E26" s="4">
        <f>D26+E25</f>
        <v>25878.5</v>
      </c>
      <c r="F26" s="4">
        <f t="shared" ref="F26:H26" si="0">E26+F25</f>
        <v>32304.35</v>
      </c>
      <c r="G26" s="4">
        <f t="shared" si="0"/>
        <v>37989.67</v>
      </c>
      <c r="H26" s="4">
        <f t="shared" si="0"/>
        <v>41339.67</v>
      </c>
      <c r="I26" s="4">
        <f t="shared" ref="I26" si="1">H26+I25</f>
        <v>42019.67</v>
      </c>
      <c r="J26" s="4">
        <f t="shared" ref="J26" si="2">I26+J25</f>
        <v>44997.56</v>
      </c>
      <c r="K26" s="4">
        <f t="shared" ref="K26" si="3">J26+K25</f>
        <v>47975.45</v>
      </c>
      <c r="L26" s="4">
        <f t="shared" ref="L26" si="4">K26+L25</f>
        <v>50953.34</v>
      </c>
      <c r="M26" s="4">
        <f t="shared" ref="M26" si="5">L26+M25</f>
        <v>53931.229999999996</v>
      </c>
      <c r="N26" s="4">
        <f t="shared" ref="N26" si="6">M26+N25</f>
        <v>56909.119999999995</v>
      </c>
      <c r="O26" s="4">
        <f t="shared" ref="O26" si="7">N26+O25</f>
        <v>59887.009999999995</v>
      </c>
      <c r="P26" s="4"/>
      <c r="Q26" s="5"/>
    </row>
    <row r="27" spans="1:17" x14ac:dyDescent="0.25">
      <c r="A27" s="511" t="s">
        <v>204</v>
      </c>
      <c r="B27" s="511"/>
      <c r="C27" s="13"/>
      <c r="D27" s="22">
        <f>(D26/D23)*100</f>
        <v>1.015100961995627</v>
      </c>
      <c r="E27" s="22">
        <f t="shared" ref="E27:O27" si="8">(E26/E23)*100</f>
        <v>1.6922000318868722</v>
      </c>
      <c r="F27" s="22">
        <f t="shared" si="8"/>
        <v>2.1123875842913877</v>
      </c>
      <c r="G27" s="22">
        <f t="shared" si="8"/>
        <v>2.4841517392960086</v>
      </c>
      <c r="H27" s="22">
        <f t="shared" si="8"/>
        <v>2.7032088757923676</v>
      </c>
      <c r="I27" s="22">
        <f t="shared" si="8"/>
        <v>2.7476742049916281</v>
      </c>
      <c r="J27" s="22">
        <f t="shared" si="8"/>
        <v>2.9423989978874916</v>
      </c>
      <c r="K27" s="22">
        <f t="shared" si="8"/>
        <v>3.1371237907833547</v>
      </c>
      <c r="L27" s="22">
        <f t="shared" si="8"/>
        <v>3.3318485836792178</v>
      </c>
      <c r="M27" s="22">
        <f t="shared" si="8"/>
        <v>3.5265733765750809</v>
      </c>
      <c r="N27" s="22">
        <f t="shared" si="8"/>
        <v>3.7212981694709448</v>
      </c>
      <c r="O27" s="22">
        <f t="shared" si="8"/>
        <v>3.9160229623668079</v>
      </c>
      <c r="P27" s="16"/>
      <c r="Q27" s="17"/>
    </row>
    <row r="28" spans="1:17" ht="15" customHeight="1" x14ac:dyDescent="0.25">
      <c r="A28" s="494" t="s">
        <v>205</v>
      </c>
      <c r="B28" s="494"/>
      <c r="C28" s="13"/>
      <c r="D28" s="512" t="s">
        <v>206</v>
      </c>
      <c r="E28" s="513" t="s">
        <v>207</v>
      </c>
      <c r="F28" s="510" t="s">
        <v>208</v>
      </c>
      <c r="G28" s="510" t="s">
        <v>209</v>
      </c>
      <c r="H28" s="510" t="s">
        <v>210</v>
      </c>
      <c r="I28" s="510"/>
      <c r="J28" s="358"/>
      <c r="K28" s="358"/>
      <c r="L28" s="358"/>
      <c r="M28" s="358"/>
      <c r="N28" s="510"/>
      <c r="O28" s="510"/>
    </row>
    <row r="29" spans="1:17" x14ac:dyDescent="0.25">
      <c r="A29" s="13"/>
      <c r="B29" s="13"/>
      <c r="C29" s="13"/>
      <c r="D29" s="512"/>
      <c r="E29" s="513"/>
      <c r="F29" s="510"/>
      <c r="G29" s="510"/>
      <c r="H29" s="510"/>
      <c r="I29" s="510"/>
      <c r="J29" s="358"/>
      <c r="K29" s="358"/>
      <c r="L29" s="358"/>
      <c r="M29" s="358"/>
      <c r="N29" s="510"/>
      <c r="O29" s="510"/>
    </row>
    <row r="30" spans="1:17" x14ac:dyDescent="0.25">
      <c r="A30" s="13"/>
      <c r="B30" s="13"/>
      <c r="C30" s="13"/>
      <c r="D30" s="512"/>
      <c r="E30" s="513"/>
      <c r="F30" s="510"/>
      <c r="G30" s="510"/>
      <c r="H30" s="510"/>
      <c r="I30" s="510"/>
      <c r="J30" s="358"/>
      <c r="K30" s="358"/>
      <c r="L30" s="358"/>
      <c r="M30" s="358"/>
      <c r="N30" s="510"/>
      <c r="O30" s="510"/>
    </row>
    <row r="31" spans="1:17" x14ac:dyDescent="0.25">
      <c r="A31" s="13"/>
      <c r="B31" s="13"/>
      <c r="C31" s="13"/>
      <c r="D31" s="512"/>
      <c r="E31" s="513"/>
      <c r="F31" s="510"/>
      <c r="G31" s="510"/>
      <c r="H31" s="510"/>
      <c r="I31" s="510"/>
      <c r="J31" s="358"/>
      <c r="K31" s="358"/>
      <c r="L31" s="358"/>
      <c r="M31" s="358"/>
      <c r="N31" s="510"/>
      <c r="O31" s="510"/>
    </row>
    <row r="32" spans="1:17" x14ac:dyDescent="0.25">
      <c r="A32" s="13"/>
      <c r="B32" s="13"/>
      <c r="C32" s="13"/>
      <c r="D32" s="512"/>
      <c r="E32" s="513"/>
      <c r="F32" s="510"/>
      <c r="G32" s="510"/>
      <c r="H32" s="510"/>
      <c r="I32" s="510"/>
      <c r="J32" s="358"/>
      <c r="K32" s="358"/>
      <c r="L32" s="358"/>
      <c r="M32" s="358"/>
      <c r="N32" s="510"/>
      <c r="O32" s="510"/>
    </row>
    <row r="33" spans="1:20" x14ac:dyDescent="0.25">
      <c r="A33" s="13"/>
      <c r="B33" s="13"/>
      <c r="C33" s="13"/>
      <c r="D33" s="512"/>
      <c r="E33" s="513"/>
      <c r="F33" s="510"/>
      <c r="G33" s="510"/>
      <c r="H33" s="510"/>
      <c r="I33" s="510"/>
      <c r="J33" s="357"/>
      <c r="K33" s="357"/>
      <c r="L33" s="357"/>
      <c r="M33" s="357"/>
      <c r="N33" s="357"/>
      <c r="O33" s="357"/>
    </row>
    <row r="34" spans="1:20" x14ac:dyDescent="0.25">
      <c r="A34" s="13"/>
      <c r="B34" s="13"/>
      <c r="C34" s="13"/>
      <c r="D34" s="512"/>
      <c r="E34" s="513"/>
      <c r="F34" s="510"/>
      <c r="G34" s="510"/>
      <c r="H34" s="510"/>
      <c r="I34" s="510"/>
      <c r="J34" s="357"/>
      <c r="K34" s="357"/>
      <c r="L34" s="357"/>
      <c r="M34" s="357"/>
      <c r="N34" s="357"/>
      <c r="O34" s="357"/>
    </row>
    <row r="35" spans="1:20" x14ac:dyDescent="0.25">
      <c r="A35" s="13"/>
      <c r="B35" s="13"/>
      <c r="C35" s="1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20" x14ac:dyDescent="0.25"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20" x14ac:dyDescent="0.25"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20" x14ac:dyDescent="0.25"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20" x14ac:dyDescent="0.25"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20" x14ac:dyDescent="0.25"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20" x14ac:dyDescent="0.25"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20" x14ac:dyDescent="0.25"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4" spans="1:20" x14ac:dyDescent="0.25">
      <c r="Q44" s="472" t="s">
        <v>211</v>
      </c>
      <c r="R44" s="472"/>
      <c r="S44" s="472"/>
    </row>
    <row r="45" spans="1:20" ht="15.75" thickBot="1" x14ac:dyDescent="0.3"/>
    <row r="46" spans="1:20" x14ac:dyDescent="0.25">
      <c r="Q46" s="475" t="s">
        <v>212</v>
      </c>
      <c r="R46" s="476"/>
      <c r="S46" s="477"/>
      <c r="T46" s="138"/>
    </row>
    <row r="47" spans="1:20" x14ac:dyDescent="0.25">
      <c r="Q47" s="478"/>
      <c r="R47" s="479"/>
      <c r="S47" s="480"/>
      <c r="T47" s="138"/>
    </row>
    <row r="48" spans="1:20" x14ac:dyDescent="0.25">
      <c r="Q48" s="481" t="s">
        <v>213</v>
      </c>
      <c r="R48" s="482"/>
      <c r="S48" s="483"/>
      <c r="T48" s="139"/>
    </row>
    <row r="49" spans="1:20" ht="15.75" thickBot="1" x14ac:dyDescent="0.3">
      <c r="Q49" s="484"/>
      <c r="R49" s="485"/>
      <c r="S49" s="486"/>
      <c r="T49" s="139"/>
    </row>
    <row r="50" spans="1:20" x14ac:dyDescent="0.25">
      <c r="Q50" s="349" t="s">
        <v>214</v>
      </c>
      <c r="R50" s="487" t="s">
        <v>215</v>
      </c>
      <c r="S50" s="488"/>
    </row>
    <row r="51" spans="1:20" x14ac:dyDescent="0.25">
      <c r="Q51" s="350" t="s">
        <v>216</v>
      </c>
      <c r="R51" s="489" t="s">
        <v>217</v>
      </c>
      <c r="S51" s="490"/>
    </row>
    <row r="52" spans="1:20" x14ac:dyDescent="0.25">
      <c r="Q52" s="351" t="s">
        <v>218</v>
      </c>
      <c r="R52" s="491" t="s">
        <v>219</v>
      </c>
      <c r="S52" s="492"/>
    </row>
    <row r="53" spans="1:20" ht="15.75" thickBot="1" x14ac:dyDescent="0.3">
      <c r="Q53" s="352" t="s">
        <v>220</v>
      </c>
      <c r="R53" s="473" t="s">
        <v>221</v>
      </c>
      <c r="S53" s="474"/>
    </row>
    <row r="58" spans="1:20" x14ac:dyDescent="0.25">
      <c r="A58" s="493" t="s">
        <v>95</v>
      </c>
      <c r="B58" s="493"/>
      <c r="C58" s="2"/>
      <c r="D58" s="3" t="s">
        <v>97</v>
      </c>
      <c r="E58" s="3" t="s">
        <v>98</v>
      </c>
      <c r="F58" s="3" t="s">
        <v>99</v>
      </c>
      <c r="G58" s="3" t="s">
        <v>100</v>
      </c>
      <c r="H58" s="3" t="s">
        <v>101</v>
      </c>
      <c r="I58" s="3" t="s">
        <v>102</v>
      </c>
      <c r="J58" s="3" t="s">
        <v>103</v>
      </c>
      <c r="K58" s="3" t="s">
        <v>104</v>
      </c>
      <c r="L58" s="3" t="s">
        <v>105</v>
      </c>
      <c r="M58" s="3" t="s">
        <v>106</v>
      </c>
      <c r="N58" s="3" t="s">
        <v>107</v>
      </c>
      <c r="O58" s="3" t="s">
        <v>108</v>
      </c>
      <c r="P58" s="3" t="s">
        <v>109</v>
      </c>
      <c r="Q58" s="3" t="s">
        <v>110</v>
      </c>
    </row>
    <row r="59" spans="1:20" x14ac:dyDescent="0.25">
      <c r="A59" s="20" t="s">
        <v>178</v>
      </c>
      <c r="B59" s="26">
        <v>500</v>
      </c>
      <c r="C59" s="26"/>
      <c r="D59" s="19">
        <v>500</v>
      </c>
      <c r="E59" s="19">
        <v>500</v>
      </c>
      <c r="F59" s="19">
        <v>500</v>
      </c>
      <c r="G59" s="19">
        <v>500</v>
      </c>
      <c r="H59" s="19">
        <v>500</v>
      </c>
      <c r="I59" s="19">
        <v>500</v>
      </c>
      <c r="J59" s="19">
        <v>500</v>
      </c>
      <c r="K59" s="19">
        <v>500</v>
      </c>
      <c r="L59" s="19">
        <v>500</v>
      </c>
      <c r="M59" s="19">
        <v>500</v>
      </c>
      <c r="N59" s="19">
        <v>500</v>
      </c>
      <c r="O59" s="19">
        <v>500</v>
      </c>
      <c r="P59" s="18"/>
      <c r="Q59" s="3"/>
    </row>
    <row r="60" spans="1:20" x14ac:dyDescent="0.25">
      <c r="A60" s="493" t="s">
        <v>222</v>
      </c>
      <c r="B60" s="493"/>
      <c r="C60" s="2"/>
      <c r="D60" s="4">
        <v>0</v>
      </c>
      <c r="E60" s="4">
        <v>0</v>
      </c>
      <c r="F60" s="4">
        <v>0</v>
      </c>
      <c r="G60" s="4">
        <v>0</v>
      </c>
      <c r="H60" s="41">
        <v>3729.4</v>
      </c>
      <c r="I60" s="4">
        <v>0</v>
      </c>
      <c r="J60" s="4">
        <v>0</v>
      </c>
      <c r="K60" s="4"/>
      <c r="L60" s="4"/>
      <c r="M60" s="4"/>
      <c r="N60" s="4"/>
      <c r="O60" s="4"/>
      <c r="P60" s="142">
        <f>AVERAGE(D60:O60)</f>
        <v>532.7714285714286</v>
      </c>
      <c r="Q60" s="143">
        <f>(P60/B59)*100</f>
        <v>106.55428571428571</v>
      </c>
    </row>
    <row r="61" spans="1:20" x14ac:dyDescent="0.25">
      <c r="A61" s="493" t="s">
        <v>223</v>
      </c>
      <c r="B61" s="493"/>
      <c r="C61" s="2"/>
      <c r="D61" s="41">
        <v>7329.93</v>
      </c>
      <c r="E61" s="41">
        <v>6690.36</v>
      </c>
      <c r="F61" s="41">
        <v>7211.03</v>
      </c>
      <c r="G61" s="41">
        <v>7250.77</v>
      </c>
      <c r="H61" s="41">
        <v>7239.77</v>
      </c>
      <c r="I61" s="41">
        <v>6841.95</v>
      </c>
      <c r="J61" s="41">
        <v>867.7</v>
      </c>
      <c r="K61" s="4"/>
      <c r="L61" s="4"/>
      <c r="M61" s="4"/>
      <c r="N61" s="4"/>
      <c r="O61" s="4"/>
      <c r="P61" s="4"/>
      <c r="Q61" s="5"/>
    </row>
    <row r="62" spans="1:20" x14ac:dyDescent="0.25">
      <c r="A62" s="129"/>
      <c r="B62" s="129"/>
      <c r="C62" s="13"/>
      <c r="D62" s="22"/>
      <c r="E62" s="22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7"/>
    </row>
    <row r="63" spans="1:20" x14ac:dyDescent="0.25">
      <c r="A63" s="13"/>
      <c r="B63" s="13"/>
      <c r="C63" s="13"/>
      <c r="D63" s="22"/>
      <c r="E63" s="22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7"/>
    </row>
    <row r="64" spans="1:20" x14ac:dyDescent="0.25">
      <c r="A64" s="13"/>
      <c r="B64" s="13"/>
      <c r="C64" s="13"/>
      <c r="D64" s="22"/>
      <c r="E64" s="22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</row>
    <row r="65" spans="1:17" x14ac:dyDescent="0.25">
      <c r="A65" s="494"/>
      <c r="B65" s="494"/>
      <c r="C65" s="13"/>
      <c r="D65" s="22"/>
      <c r="E65" s="22"/>
      <c r="F65" s="22"/>
      <c r="G65" s="22"/>
      <c r="H65" s="16"/>
      <c r="I65" s="16"/>
      <c r="J65" s="16"/>
      <c r="K65" s="16"/>
      <c r="L65" s="16"/>
      <c r="M65" s="16"/>
      <c r="N65" s="16"/>
      <c r="O65" s="16"/>
      <c r="P65" s="16"/>
      <c r="Q65" s="17"/>
    </row>
    <row r="66" spans="1:17" x14ac:dyDescent="0.25">
      <c r="A66" s="13"/>
      <c r="B66" s="13"/>
      <c r="C66" s="13"/>
      <c r="D66" s="22"/>
      <c r="E66" s="22"/>
      <c r="F66" s="22"/>
      <c r="G66" s="22"/>
      <c r="H66" s="16"/>
      <c r="I66" s="16"/>
      <c r="J66" s="16"/>
      <c r="K66" s="16"/>
      <c r="L66" s="16"/>
      <c r="M66" s="16"/>
      <c r="N66" s="16"/>
      <c r="O66" s="16"/>
      <c r="P66" s="16"/>
      <c r="Q66" s="17"/>
    </row>
    <row r="67" spans="1:17" x14ac:dyDescent="0.25">
      <c r="A67" s="494"/>
      <c r="B67" s="494"/>
      <c r="C67" s="1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88" spans="1:17" x14ac:dyDescent="0.25">
      <c r="A88" s="493" t="s">
        <v>95</v>
      </c>
      <c r="B88" s="493"/>
      <c r="C88" s="2" t="s">
        <v>96</v>
      </c>
      <c r="D88" s="3" t="s">
        <v>97</v>
      </c>
      <c r="E88" s="3" t="s">
        <v>98</v>
      </c>
      <c r="F88" s="3" t="s">
        <v>99</v>
      </c>
      <c r="G88" s="3" t="s">
        <v>100</v>
      </c>
      <c r="H88" s="3" t="s">
        <v>101</v>
      </c>
      <c r="I88" s="3" t="s">
        <v>102</v>
      </c>
      <c r="J88" s="3" t="s">
        <v>103</v>
      </c>
      <c r="K88" s="3" t="s">
        <v>104</v>
      </c>
      <c r="L88" s="3" t="s">
        <v>105</v>
      </c>
      <c r="M88" s="3" t="s">
        <v>106</v>
      </c>
      <c r="N88" s="3" t="s">
        <v>107</v>
      </c>
      <c r="O88" s="3" t="s">
        <v>108</v>
      </c>
      <c r="P88" s="3" t="s">
        <v>109</v>
      </c>
      <c r="Q88" s="3" t="s">
        <v>110</v>
      </c>
    </row>
    <row r="89" spans="1:17" x14ac:dyDescent="0.25">
      <c r="A89" s="20" t="s">
        <v>224</v>
      </c>
      <c r="B89" s="26">
        <v>90</v>
      </c>
      <c r="C89" s="144"/>
      <c r="D89" s="19">
        <v>90</v>
      </c>
      <c r="E89" s="19">
        <v>90</v>
      </c>
      <c r="F89" s="19">
        <v>90</v>
      </c>
      <c r="G89" s="19">
        <v>90</v>
      </c>
      <c r="H89" s="19">
        <v>90</v>
      </c>
      <c r="I89" s="19">
        <v>90</v>
      </c>
      <c r="J89" s="19">
        <v>90</v>
      </c>
      <c r="K89" s="19">
        <v>90</v>
      </c>
      <c r="L89" s="19">
        <v>90</v>
      </c>
      <c r="M89" s="19">
        <v>90</v>
      </c>
      <c r="N89" s="19">
        <v>90</v>
      </c>
      <c r="O89" s="19">
        <v>90</v>
      </c>
      <c r="P89" s="18"/>
      <c r="Q89" s="3"/>
    </row>
    <row r="90" spans="1:17" x14ac:dyDescent="0.25">
      <c r="A90" s="145" t="s">
        <v>225</v>
      </c>
      <c r="B90" s="25"/>
      <c r="C90" s="146">
        <v>59.39</v>
      </c>
      <c r="D90" s="141">
        <v>60.47</v>
      </c>
      <c r="E90" s="141">
        <v>61.5</v>
      </c>
      <c r="F90" s="141">
        <v>61.66</v>
      </c>
      <c r="G90" s="141">
        <v>64.569999999999993</v>
      </c>
      <c r="H90" s="141">
        <v>57.89</v>
      </c>
      <c r="I90" s="399">
        <v>61.59</v>
      </c>
      <c r="J90" s="399">
        <v>26.24</v>
      </c>
      <c r="K90" s="141">
        <v>53.28</v>
      </c>
      <c r="L90" s="141"/>
      <c r="M90" s="141"/>
      <c r="N90" s="141"/>
      <c r="O90" s="141"/>
      <c r="P90" s="141">
        <f>AVERAGE(D90:O90)</f>
        <v>55.899999999999991</v>
      </c>
      <c r="Q90" s="143">
        <f>(P90/B89)*100</f>
        <v>62.111111111111107</v>
      </c>
    </row>
    <row r="91" spans="1:17" x14ac:dyDescent="0.25">
      <c r="A91" s="145" t="s">
        <v>226</v>
      </c>
      <c r="B91" s="25"/>
      <c r="C91" s="18"/>
      <c r="D91" s="141">
        <v>83.19</v>
      </c>
      <c r="E91" s="141">
        <v>81.540000000000006</v>
      </c>
      <c r="F91" s="141">
        <v>82.13</v>
      </c>
      <c r="G91" s="141">
        <v>83.45</v>
      </c>
      <c r="H91" s="141">
        <v>81.61</v>
      </c>
      <c r="I91" s="399">
        <v>83.04</v>
      </c>
      <c r="J91" s="399">
        <f>(0.5228*0.9992)*100</f>
        <v>52.238176000000003</v>
      </c>
      <c r="K91" s="142">
        <v>77.73</v>
      </c>
      <c r="L91" s="142"/>
      <c r="M91" s="142"/>
      <c r="N91" s="142"/>
      <c r="O91" s="142"/>
      <c r="P91" s="141">
        <f>AVERAGE(D91:O91)</f>
        <v>78.116022000000001</v>
      </c>
      <c r="Q91" s="143">
        <f>(P91/B89)*100</f>
        <v>86.795580000000001</v>
      </c>
    </row>
    <row r="92" spans="1:17" x14ac:dyDescent="0.25">
      <c r="A92" s="145" t="s">
        <v>115</v>
      </c>
      <c r="B92" s="25"/>
      <c r="C92" s="18"/>
      <c r="D92" s="4">
        <v>72892</v>
      </c>
      <c r="E92" s="4">
        <v>61572</v>
      </c>
      <c r="F92" s="4">
        <v>64537</v>
      </c>
      <c r="G92" s="4">
        <v>63111</v>
      </c>
      <c r="H92" s="4">
        <v>57090</v>
      </c>
      <c r="I92" s="4">
        <v>37376</v>
      </c>
      <c r="J92" s="4">
        <v>3069</v>
      </c>
      <c r="K92" s="4">
        <v>23085</v>
      </c>
      <c r="L92" s="4"/>
      <c r="M92" s="4"/>
      <c r="N92" s="4"/>
      <c r="O92" s="4"/>
      <c r="P92" s="142">
        <f>AVERAGE(D92:O92)</f>
        <v>47841.5</v>
      </c>
      <c r="Q92" s="142">
        <f>SUM(D92:O92)</f>
        <v>382732</v>
      </c>
    </row>
    <row r="94" spans="1:17" x14ac:dyDescent="0.25">
      <c r="I94" s="398"/>
    </row>
  </sheetData>
  <mergeCells count="27">
    <mergeCell ref="I28:I34"/>
    <mergeCell ref="D28:D34"/>
    <mergeCell ref="E28:E34"/>
    <mergeCell ref="F28:F34"/>
    <mergeCell ref="G28:G34"/>
    <mergeCell ref="H28:H34"/>
    <mergeCell ref="A22:B22"/>
    <mergeCell ref="A25:B25"/>
    <mergeCell ref="A28:B28"/>
    <mergeCell ref="A26:B26"/>
    <mergeCell ref="A27:B27"/>
    <mergeCell ref="A24:B24"/>
    <mergeCell ref="Q48:S49"/>
    <mergeCell ref="Q46:S47"/>
    <mergeCell ref="N28:N32"/>
    <mergeCell ref="O28:O32"/>
    <mergeCell ref="Q44:S44"/>
    <mergeCell ref="R50:S50"/>
    <mergeCell ref="R52:S52"/>
    <mergeCell ref="R53:S53"/>
    <mergeCell ref="R51:S51"/>
    <mergeCell ref="A88:B88"/>
    <mergeCell ref="A58:B58"/>
    <mergeCell ref="A60:B60"/>
    <mergeCell ref="A61:B61"/>
    <mergeCell ref="A65:B65"/>
    <mergeCell ref="A67:B67"/>
  </mergeCells>
  <conditionalFormatting sqref="D60:O60">
    <cfRule type="cellIs" dxfId="2" priority="2" operator="greaterThanOrEqual">
      <formula>2000</formula>
    </cfRule>
  </conditionalFormatting>
  <conditionalFormatting sqref="P60">
    <cfRule type="cellIs" dxfId="1" priority="1" operator="greaterThan">
      <formula>500</formula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35" orientation="landscape" horizontalDpi="0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5ECD6-74C1-4FB1-B48D-06271EC09659}">
  <dimension ref="B1:K32"/>
  <sheetViews>
    <sheetView topLeftCell="D1" workbookViewId="0">
      <selection activeCell="J7" sqref="J7"/>
    </sheetView>
  </sheetViews>
  <sheetFormatPr defaultRowHeight="15" x14ac:dyDescent="0.25"/>
  <cols>
    <col min="4" max="4" width="37.140625" customWidth="1"/>
    <col min="5" max="5" width="18" customWidth="1"/>
    <col min="6" max="6" width="14.85546875" customWidth="1"/>
    <col min="7" max="7" width="23.5703125" bestFit="1" customWidth="1"/>
    <col min="8" max="8" width="35.85546875" customWidth="1"/>
    <col min="9" max="9" width="36" customWidth="1"/>
    <col min="10" max="10" width="23" customWidth="1"/>
    <col min="11" max="11" width="19.5703125" customWidth="1"/>
  </cols>
  <sheetData>
    <row r="1" spans="2:11" ht="15.75" thickBot="1" x14ac:dyDescent="0.3"/>
    <row r="2" spans="2:11" x14ac:dyDescent="0.25">
      <c r="B2" s="526" t="s">
        <v>227</v>
      </c>
      <c r="C2" s="527"/>
      <c r="D2" s="527"/>
      <c r="E2" s="527"/>
      <c r="F2" s="527"/>
      <c r="G2" s="527"/>
      <c r="H2" s="527"/>
      <c r="I2" s="527"/>
      <c r="J2" s="527"/>
      <c r="K2" s="42"/>
    </row>
    <row r="3" spans="2:11" x14ac:dyDescent="0.25">
      <c r="B3" s="528"/>
      <c r="C3" s="529"/>
      <c r="D3" s="529"/>
      <c r="E3" s="529"/>
      <c r="F3" s="529"/>
      <c r="G3" s="529"/>
      <c r="H3" s="529"/>
      <c r="I3" s="529"/>
      <c r="J3" s="529"/>
      <c r="K3" s="43"/>
    </row>
    <row r="4" spans="2:11" x14ac:dyDescent="0.25">
      <c r="B4" s="530" t="e" vm="1">
        <v>#VALUE!</v>
      </c>
      <c r="C4" s="531"/>
      <c r="D4" s="44" t="s">
        <v>228</v>
      </c>
      <c r="E4" s="45"/>
      <c r="F4" s="45"/>
      <c r="G4" s="46"/>
      <c r="H4" s="534" t="s">
        <v>229</v>
      </c>
      <c r="I4" s="535"/>
      <c r="J4" s="536"/>
      <c r="K4" s="47">
        <f>COUNTA(K8:K22)</f>
        <v>0</v>
      </c>
    </row>
    <row r="5" spans="2:11" x14ac:dyDescent="0.25">
      <c r="B5" s="530"/>
      <c r="C5" s="531"/>
      <c r="D5" s="537" t="s">
        <v>230</v>
      </c>
      <c r="E5" s="537"/>
      <c r="F5" s="537"/>
      <c r="G5" s="537" t="s">
        <v>231</v>
      </c>
      <c r="H5" s="537"/>
      <c r="I5" s="538"/>
      <c r="J5" s="538"/>
      <c r="K5" s="47">
        <f>COUNTA(C8:C22)</f>
        <v>0</v>
      </c>
    </row>
    <row r="6" spans="2:11" ht="15.75" thickBot="1" x14ac:dyDescent="0.3">
      <c r="B6" s="532"/>
      <c r="C6" s="533"/>
      <c r="D6" s="539" t="s">
        <v>232</v>
      </c>
      <c r="E6" s="540"/>
      <c r="F6" s="541"/>
      <c r="G6" s="48" t="s">
        <v>233</v>
      </c>
      <c r="H6" s="49"/>
      <c r="I6" s="50" t="s">
        <v>234</v>
      </c>
      <c r="J6" s="51"/>
      <c r="K6" s="52"/>
    </row>
    <row r="7" spans="2:11" ht="26.25" thickBot="1" x14ac:dyDescent="0.3">
      <c r="B7" s="80" t="s">
        <v>235</v>
      </c>
      <c r="C7" s="81" t="s">
        <v>236</v>
      </c>
      <c r="D7" s="53" t="s">
        <v>237</v>
      </c>
      <c r="E7" s="79" t="s">
        <v>238</v>
      </c>
      <c r="F7" s="79" t="s">
        <v>239</v>
      </c>
      <c r="G7" s="53" t="s">
        <v>240</v>
      </c>
      <c r="H7" s="53" t="s">
        <v>241</v>
      </c>
      <c r="I7" s="53" t="s">
        <v>242</v>
      </c>
      <c r="J7" s="79" t="s">
        <v>243</v>
      </c>
      <c r="K7" s="82" t="s">
        <v>244</v>
      </c>
    </row>
    <row r="8" spans="2:11" ht="21" thickBot="1" x14ac:dyDescent="0.3">
      <c r="B8" s="54"/>
      <c r="C8" s="55"/>
      <c r="D8" s="56"/>
      <c r="E8" s="56"/>
      <c r="F8" s="57"/>
      <c r="G8" s="56"/>
      <c r="H8" s="56"/>
      <c r="I8" s="56"/>
      <c r="J8" s="56"/>
      <c r="K8" s="58"/>
    </row>
    <row r="9" spans="2:11" ht="20.25" x14ac:dyDescent="0.25">
      <c r="B9" s="54"/>
      <c r="C9" s="59"/>
      <c r="D9" s="56"/>
      <c r="E9" s="56"/>
      <c r="F9" s="57"/>
      <c r="G9" s="56"/>
      <c r="H9" s="56"/>
      <c r="I9" s="56"/>
      <c r="J9" s="60"/>
      <c r="K9" s="58"/>
    </row>
    <row r="10" spans="2:11" ht="20.25" x14ac:dyDescent="0.25">
      <c r="B10" s="61"/>
      <c r="C10" s="59"/>
      <c r="D10" s="56"/>
      <c r="E10" s="56"/>
      <c r="F10" s="57"/>
      <c r="G10" s="56"/>
      <c r="H10" s="56"/>
      <c r="I10" s="56"/>
      <c r="J10" s="56"/>
      <c r="K10" s="58"/>
    </row>
    <row r="11" spans="2:11" ht="20.25" x14ac:dyDescent="0.25">
      <c r="B11" s="61"/>
      <c r="C11" s="59"/>
      <c r="D11" s="56"/>
      <c r="E11" s="56"/>
      <c r="F11" s="57"/>
      <c r="G11" s="56"/>
      <c r="H11" s="56"/>
      <c r="I11" s="56"/>
      <c r="J11" s="62"/>
      <c r="K11" s="58"/>
    </row>
    <row r="12" spans="2:11" ht="20.25" x14ac:dyDescent="0.25">
      <c r="B12" s="61"/>
      <c r="C12" s="59"/>
      <c r="D12" s="56"/>
      <c r="E12" s="56"/>
      <c r="F12" s="57"/>
      <c r="G12" s="56"/>
      <c r="H12" s="56"/>
      <c r="I12" s="56"/>
      <c r="J12" s="56"/>
      <c r="K12" s="58"/>
    </row>
    <row r="13" spans="2:11" ht="20.25" x14ac:dyDescent="0.25">
      <c r="B13" s="61"/>
      <c r="C13" s="59"/>
      <c r="D13" s="56"/>
      <c r="E13" s="56"/>
      <c r="F13" s="57"/>
      <c r="G13" s="56"/>
      <c r="H13" s="56"/>
      <c r="I13" s="56"/>
      <c r="J13" s="56"/>
      <c r="K13" s="58"/>
    </row>
    <row r="14" spans="2:11" ht="20.25" x14ac:dyDescent="0.25">
      <c r="B14" s="61"/>
      <c r="C14" s="59"/>
      <c r="D14" s="56"/>
      <c r="E14" s="56"/>
      <c r="F14" s="57"/>
      <c r="G14" s="56"/>
      <c r="H14" s="56"/>
      <c r="I14" s="56"/>
      <c r="J14" s="60"/>
      <c r="K14" s="58"/>
    </row>
    <row r="15" spans="2:11" ht="20.25" x14ac:dyDescent="0.25">
      <c r="B15" s="61"/>
      <c r="C15" s="59"/>
      <c r="D15" s="56"/>
      <c r="E15" s="56"/>
      <c r="F15" s="57"/>
      <c r="G15" s="56"/>
      <c r="H15" s="56"/>
      <c r="I15" s="56"/>
      <c r="J15" s="56"/>
      <c r="K15" s="58"/>
    </row>
    <row r="16" spans="2:11" ht="20.25" x14ac:dyDescent="0.25">
      <c r="B16" s="61"/>
      <c r="C16" s="59"/>
      <c r="D16" s="56"/>
      <c r="E16" s="56"/>
      <c r="F16" s="57"/>
      <c r="G16" s="56"/>
      <c r="H16" s="56"/>
      <c r="I16" s="56"/>
      <c r="J16" s="56"/>
      <c r="K16" s="58"/>
    </row>
    <row r="17" spans="2:11" ht="20.25" x14ac:dyDescent="0.25">
      <c r="B17" s="61"/>
      <c r="C17" s="59"/>
      <c r="D17" s="56"/>
      <c r="E17" s="56"/>
      <c r="F17" s="57"/>
      <c r="G17" s="56"/>
      <c r="H17" s="56"/>
      <c r="I17" s="56"/>
      <c r="J17" s="56"/>
      <c r="K17" s="58"/>
    </row>
    <row r="18" spans="2:11" ht="20.25" x14ac:dyDescent="0.25">
      <c r="B18" s="61"/>
      <c r="C18" s="59"/>
      <c r="D18" s="63"/>
      <c r="E18" s="63"/>
      <c r="F18" s="64"/>
      <c r="G18" s="63"/>
      <c r="H18" s="63"/>
      <c r="I18" s="63"/>
      <c r="J18" s="65"/>
      <c r="K18" s="58"/>
    </row>
    <row r="19" spans="2:11" ht="20.25" x14ac:dyDescent="0.25">
      <c r="B19" s="61"/>
      <c r="C19" s="59"/>
      <c r="D19" s="63"/>
      <c r="E19" s="63"/>
      <c r="F19" s="64"/>
      <c r="G19" s="63"/>
      <c r="H19" s="63"/>
      <c r="I19" s="63"/>
      <c r="J19" s="65"/>
      <c r="K19" s="58"/>
    </row>
    <row r="20" spans="2:11" ht="20.25" x14ac:dyDescent="0.25">
      <c r="B20" s="61"/>
      <c r="C20" s="59"/>
      <c r="D20" s="63"/>
      <c r="E20" s="63"/>
      <c r="F20" s="64"/>
      <c r="G20" s="63"/>
      <c r="H20" s="63"/>
      <c r="I20" s="63"/>
      <c r="J20" s="65"/>
      <c r="K20" s="58"/>
    </row>
    <row r="21" spans="2:11" ht="20.25" x14ac:dyDescent="0.25">
      <c r="B21" s="61"/>
      <c r="C21" s="59"/>
      <c r="D21" s="63"/>
      <c r="E21" s="63"/>
      <c r="F21" s="64"/>
      <c r="G21" s="63"/>
      <c r="H21" s="63"/>
      <c r="I21" s="63"/>
      <c r="J21" s="65"/>
      <c r="K21" s="58"/>
    </row>
    <row r="22" spans="2:11" ht="21" thickBot="1" x14ac:dyDescent="0.3">
      <c r="B22" s="66"/>
      <c r="C22" s="67"/>
      <c r="D22" s="68"/>
      <c r="E22" s="68"/>
      <c r="F22" s="69"/>
      <c r="G22" s="68"/>
      <c r="H22" s="68"/>
      <c r="I22" s="68"/>
      <c r="J22" s="70"/>
      <c r="K22" s="71"/>
    </row>
    <row r="23" spans="2:11" ht="15.75" thickBot="1" x14ac:dyDescent="0.3">
      <c r="B23" s="72"/>
      <c r="C23" s="73"/>
      <c r="D23" s="74"/>
      <c r="E23" s="75"/>
      <c r="F23" s="75"/>
      <c r="G23" s="75"/>
      <c r="H23" s="75"/>
      <c r="I23" s="75"/>
      <c r="J23" s="76"/>
      <c r="K23" s="47"/>
    </row>
    <row r="24" spans="2:11" x14ac:dyDescent="0.25">
      <c r="B24" s="514" t="s">
        <v>245</v>
      </c>
      <c r="C24" s="515"/>
      <c r="D24" s="516" t="s">
        <v>246</v>
      </c>
      <c r="E24" s="517"/>
      <c r="F24" s="517"/>
      <c r="G24" s="517"/>
      <c r="H24" s="517"/>
      <c r="I24" s="517"/>
      <c r="J24" s="517"/>
      <c r="K24" s="42"/>
    </row>
    <row r="25" spans="2:11" x14ac:dyDescent="0.25">
      <c r="B25" s="522"/>
      <c r="C25" s="523"/>
      <c r="D25" s="518"/>
      <c r="E25" s="519"/>
      <c r="F25" s="519"/>
      <c r="G25" s="519"/>
      <c r="H25" s="519"/>
      <c r="I25" s="519"/>
      <c r="J25" s="519"/>
      <c r="K25" s="77"/>
    </row>
    <row r="26" spans="2:11" x14ac:dyDescent="0.25">
      <c r="B26" s="522"/>
      <c r="C26" s="523"/>
      <c r="D26" s="518"/>
      <c r="E26" s="519"/>
      <c r="F26" s="519"/>
      <c r="G26" s="519"/>
      <c r="H26" s="519"/>
      <c r="I26" s="519"/>
      <c r="J26" s="519"/>
      <c r="K26" s="77"/>
    </row>
    <row r="27" spans="2:11" x14ac:dyDescent="0.25">
      <c r="B27" s="522"/>
      <c r="C27" s="523"/>
      <c r="D27" s="518"/>
      <c r="E27" s="519"/>
      <c r="F27" s="519"/>
      <c r="G27" s="519"/>
      <c r="H27" s="519"/>
      <c r="I27" s="519"/>
      <c r="J27" s="519"/>
      <c r="K27" s="77"/>
    </row>
    <row r="28" spans="2:11" x14ac:dyDescent="0.25">
      <c r="B28" s="522"/>
      <c r="C28" s="523"/>
      <c r="D28" s="518"/>
      <c r="E28" s="519"/>
      <c r="F28" s="519"/>
      <c r="G28" s="519"/>
      <c r="H28" s="519"/>
      <c r="I28" s="519"/>
      <c r="J28" s="519"/>
      <c r="K28" s="77"/>
    </row>
    <row r="29" spans="2:11" x14ac:dyDescent="0.25">
      <c r="B29" s="522"/>
      <c r="C29" s="523"/>
      <c r="D29" s="518"/>
      <c r="E29" s="519"/>
      <c r="F29" s="519"/>
      <c r="G29" s="519"/>
      <c r="H29" s="519"/>
      <c r="I29" s="519"/>
      <c r="J29" s="519"/>
      <c r="K29" s="77"/>
    </row>
    <row r="30" spans="2:11" x14ac:dyDescent="0.25">
      <c r="B30" s="522"/>
      <c r="C30" s="523"/>
      <c r="D30" s="518"/>
      <c r="E30" s="519"/>
      <c r="F30" s="519"/>
      <c r="G30" s="519"/>
      <c r="H30" s="519"/>
      <c r="I30" s="519"/>
      <c r="J30" s="519"/>
      <c r="K30" s="77"/>
    </row>
    <row r="31" spans="2:11" x14ac:dyDescent="0.25">
      <c r="B31" s="522"/>
      <c r="C31" s="523"/>
      <c r="D31" s="518"/>
      <c r="E31" s="519"/>
      <c r="F31" s="519"/>
      <c r="G31" s="519"/>
      <c r="H31" s="519"/>
      <c r="I31" s="519"/>
      <c r="J31" s="519"/>
      <c r="K31" s="77"/>
    </row>
    <row r="32" spans="2:11" ht="15.75" thickBot="1" x14ac:dyDescent="0.3">
      <c r="B32" s="524"/>
      <c r="C32" s="525"/>
      <c r="D32" s="520"/>
      <c r="E32" s="521"/>
      <c r="F32" s="521"/>
      <c r="G32" s="521"/>
      <c r="H32" s="521"/>
      <c r="I32" s="521"/>
      <c r="J32" s="521"/>
      <c r="K32" s="78"/>
    </row>
  </sheetData>
  <mergeCells count="17">
    <mergeCell ref="B2:I3"/>
    <mergeCell ref="J2:J3"/>
    <mergeCell ref="B4:C6"/>
    <mergeCell ref="H4:J4"/>
    <mergeCell ref="D5:F5"/>
    <mergeCell ref="G5:J5"/>
    <mergeCell ref="D6:F6"/>
    <mergeCell ref="B24:C24"/>
    <mergeCell ref="D24:J32"/>
    <mergeCell ref="B25:C25"/>
    <mergeCell ref="B26:C26"/>
    <mergeCell ref="B27:C27"/>
    <mergeCell ref="B28:C28"/>
    <mergeCell ref="B29:C29"/>
    <mergeCell ref="B30:C30"/>
    <mergeCell ref="B31:C31"/>
    <mergeCell ref="B32:C32"/>
  </mergeCells>
  <conditionalFormatting sqref="K8:K22">
    <cfRule type="cellIs" dxfId="0" priority="1" operator="equal">
      <formula>"OK"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7F2D9-2CB6-4421-9CF4-B7A029790B02}">
  <sheetPr>
    <pageSetUpPr fitToPage="1"/>
  </sheetPr>
  <dimension ref="A3:Z90"/>
  <sheetViews>
    <sheetView showGridLines="0" topLeftCell="A34" zoomScale="64" zoomScaleNormal="64" workbookViewId="0">
      <selection activeCell="U56" sqref="U56"/>
    </sheetView>
  </sheetViews>
  <sheetFormatPr defaultRowHeight="15" x14ac:dyDescent="0.25"/>
  <cols>
    <col min="1" max="1" width="11.28515625" bestFit="1" customWidth="1"/>
    <col min="2" max="2" width="12.5703125" bestFit="1" customWidth="1"/>
    <col min="3" max="10" width="10.140625" bestFit="1" customWidth="1"/>
    <col min="11" max="12" width="12.5703125" bestFit="1" customWidth="1"/>
    <col min="13" max="13" width="10.140625" bestFit="1" customWidth="1"/>
    <col min="14" max="14" width="12.5703125" bestFit="1" customWidth="1"/>
    <col min="16" max="16" width="9" bestFit="1" customWidth="1"/>
    <col min="24" max="24" width="22.5703125" bestFit="1" customWidth="1"/>
    <col min="25" max="25" width="18.5703125" bestFit="1" customWidth="1"/>
    <col min="26" max="26" width="18" bestFit="1" customWidth="1"/>
  </cols>
  <sheetData>
    <row r="3" spans="24:26" x14ac:dyDescent="0.25">
      <c r="X3" s="401" t="s">
        <v>424</v>
      </c>
      <c r="Y3" s="402">
        <v>455</v>
      </c>
      <c r="Z3" s="403" t="s">
        <v>425</v>
      </c>
    </row>
    <row r="4" spans="24:26" x14ac:dyDescent="0.25">
      <c r="X4" s="401" t="s">
        <v>426</v>
      </c>
      <c r="Y4" s="402">
        <v>205</v>
      </c>
      <c r="Z4" s="403" t="s">
        <v>427</v>
      </c>
    </row>
    <row r="5" spans="24:26" x14ac:dyDescent="0.25">
      <c r="X5" s="401" t="s">
        <v>428</v>
      </c>
      <c r="Y5" s="402">
        <v>600</v>
      </c>
      <c r="Z5" s="403" t="s">
        <v>429</v>
      </c>
    </row>
    <row r="6" spans="24:26" x14ac:dyDescent="0.25">
      <c r="X6" s="401" t="s">
        <v>428</v>
      </c>
      <c r="Y6" s="402">
        <v>300</v>
      </c>
      <c r="Z6" s="403" t="s">
        <v>430</v>
      </c>
    </row>
    <row r="7" spans="24:26" x14ac:dyDescent="0.25">
      <c r="X7" s="401" t="s">
        <v>431</v>
      </c>
      <c r="Y7" s="402">
        <v>87.9</v>
      </c>
      <c r="Z7" s="403" t="s">
        <v>432</v>
      </c>
    </row>
    <row r="8" spans="24:26" x14ac:dyDescent="0.25">
      <c r="X8" s="401" t="s">
        <v>431</v>
      </c>
      <c r="Y8" s="402">
        <v>69.989999999999995</v>
      </c>
      <c r="Z8" s="403" t="s">
        <v>433</v>
      </c>
    </row>
    <row r="9" spans="24:26" x14ac:dyDescent="0.25">
      <c r="X9" s="401" t="s">
        <v>428</v>
      </c>
      <c r="Y9" s="402">
        <v>200</v>
      </c>
      <c r="Z9" s="403" t="s">
        <v>434</v>
      </c>
    </row>
    <row r="10" spans="24:26" x14ac:dyDescent="0.25">
      <c r="X10" s="401" t="s">
        <v>435</v>
      </c>
      <c r="Y10" s="402">
        <v>200</v>
      </c>
      <c r="Z10" s="403" t="s">
        <v>436</v>
      </c>
    </row>
    <row r="11" spans="24:26" x14ac:dyDescent="0.25">
      <c r="X11" s="401" t="s">
        <v>431</v>
      </c>
      <c r="Y11" s="402">
        <v>600</v>
      </c>
      <c r="Z11" s="403" t="s">
        <v>437</v>
      </c>
    </row>
    <row r="12" spans="24:26" x14ac:dyDescent="0.25">
      <c r="X12" s="401" t="s">
        <v>431</v>
      </c>
      <c r="Y12" s="402">
        <v>80</v>
      </c>
      <c r="Z12" s="403" t="s">
        <v>438</v>
      </c>
    </row>
    <row r="13" spans="24:26" ht="15.75" thickBot="1" x14ac:dyDescent="0.3">
      <c r="X13" s="404"/>
      <c r="Y13" s="405">
        <f>SUM(Y2:Y12)</f>
        <v>2797.8900000000003</v>
      </c>
      <c r="Z13" s="406"/>
    </row>
    <row r="22" spans="1:16" x14ac:dyDescent="0.25">
      <c r="A22" s="493" t="s">
        <v>95</v>
      </c>
      <c r="B22" s="493"/>
      <c r="C22" s="3" t="s">
        <v>97</v>
      </c>
      <c r="D22" s="3" t="s">
        <v>98</v>
      </c>
      <c r="E22" s="3" t="s">
        <v>99</v>
      </c>
      <c r="F22" s="3" t="s">
        <v>100</v>
      </c>
      <c r="G22" s="3" t="s">
        <v>101</v>
      </c>
      <c r="H22" s="3" t="s">
        <v>102</v>
      </c>
      <c r="I22" s="3" t="s">
        <v>103</v>
      </c>
      <c r="J22" s="3" t="s">
        <v>104</v>
      </c>
      <c r="K22" s="3" t="s">
        <v>105</v>
      </c>
      <c r="L22" s="3" t="s">
        <v>106</v>
      </c>
      <c r="M22" s="3" t="s">
        <v>107</v>
      </c>
      <c r="N22" s="3" t="s">
        <v>108</v>
      </c>
      <c r="O22" s="3" t="s">
        <v>200</v>
      </c>
      <c r="P22" s="3" t="s">
        <v>110</v>
      </c>
    </row>
    <row r="23" spans="1:16" x14ac:dyDescent="0.25">
      <c r="A23" s="9" t="s">
        <v>178</v>
      </c>
      <c r="B23" s="98">
        <f>[2]Resultados!$C$28</f>
        <v>750000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3"/>
      <c r="P23" s="3"/>
    </row>
    <row r="24" spans="1:16" x14ac:dyDescent="0.25">
      <c r="A24" s="493" t="s">
        <v>247</v>
      </c>
      <c r="B24" s="493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3"/>
      <c r="P24" s="3"/>
    </row>
    <row r="25" spans="1:16" x14ac:dyDescent="0.25">
      <c r="A25" s="493" t="s">
        <v>248</v>
      </c>
      <c r="B25" s="493"/>
      <c r="C25" s="152">
        <v>0</v>
      </c>
      <c r="D25" s="41">
        <v>0</v>
      </c>
      <c r="E25" s="41">
        <v>3071.1</v>
      </c>
      <c r="F25" s="41">
        <v>2330.5700000000002</v>
      </c>
      <c r="G25" s="400">
        <v>680</v>
      </c>
      <c r="H25" s="400">
        <v>680</v>
      </c>
      <c r="I25" s="400">
        <v>2977.89</v>
      </c>
      <c r="J25" s="400">
        <v>2977.89</v>
      </c>
      <c r="K25" s="400">
        <v>2977.89</v>
      </c>
      <c r="L25" s="400">
        <v>2977.89</v>
      </c>
      <c r="M25" s="400">
        <v>2977.89</v>
      </c>
      <c r="N25" s="400">
        <v>2977.89</v>
      </c>
      <c r="O25" s="4">
        <f>SUM(C25:N25)</f>
        <v>24629.01</v>
      </c>
      <c r="P25" s="5">
        <f>(O25/B23)*100</f>
        <v>3.2838679999999996</v>
      </c>
    </row>
    <row r="26" spans="1:16" x14ac:dyDescent="0.25">
      <c r="A26" s="493" t="s">
        <v>249</v>
      </c>
      <c r="B26" s="493"/>
      <c r="C26" s="41">
        <v>0</v>
      </c>
      <c r="D26" s="41">
        <v>0</v>
      </c>
      <c r="E26" s="41">
        <f>D26+E25</f>
        <v>3071.1</v>
      </c>
      <c r="F26" s="41">
        <f>E26+F25</f>
        <v>5401.67</v>
      </c>
      <c r="G26" s="41">
        <f t="shared" ref="G26:N26" si="0">F26+G25</f>
        <v>6081.67</v>
      </c>
      <c r="H26" s="41">
        <f t="shared" si="0"/>
        <v>6761.67</v>
      </c>
      <c r="I26" s="41">
        <f t="shared" si="0"/>
        <v>9739.56</v>
      </c>
      <c r="J26" s="41">
        <f t="shared" si="0"/>
        <v>12717.449999999999</v>
      </c>
      <c r="K26" s="41">
        <f t="shared" si="0"/>
        <v>15695.339999999998</v>
      </c>
      <c r="L26" s="41">
        <f t="shared" si="0"/>
        <v>18673.23</v>
      </c>
      <c r="M26" s="41">
        <f t="shared" si="0"/>
        <v>21651.119999999999</v>
      </c>
      <c r="N26" s="41">
        <f t="shared" si="0"/>
        <v>24629.01</v>
      </c>
      <c r="O26" s="4"/>
      <c r="P26" s="5"/>
    </row>
    <row r="27" spans="1:16" x14ac:dyDescent="0.25">
      <c r="A27" s="547" t="s">
        <v>204</v>
      </c>
      <c r="B27" s="547"/>
      <c r="C27" s="150" t="e">
        <f>(C26/C23)*100</f>
        <v>#DIV/0!</v>
      </c>
      <c r="D27" s="150" t="e">
        <f t="shared" ref="D27:F27" si="1">(D26/D23)*100</f>
        <v>#DIV/0!</v>
      </c>
      <c r="E27" s="150">
        <f>E25/B23*100</f>
        <v>0.40948000000000001</v>
      </c>
      <c r="F27" s="150" t="e">
        <f t="shared" si="1"/>
        <v>#DIV/0!</v>
      </c>
      <c r="G27" s="151"/>
      <c r="H27" s="151"/>
      <c r="I27" s="151"/>
      <c r="J27" s="151"/>
      <c r="K27" s="151"/>
      <c r="L27" s="151"/>
      <c r="M27" s="151"/>
      <c r="N27" s="151"/>
      <c r="O27" s="151"/>
      <c r="P27" s="17"/>
    </row>
    <row r="28" spans="1:16" x14ac:dyDescent="0.25">
      <c r="A28" s="494" t="s">
        <v>205</v>
      </c>
      <c r="B28" s="494"/>
      <c r="C28" s="148"/>
      <c r="D28" s="1"/>
      <c r="E28" s="542" t="s">
        <v>250</v>
      </c>
      <c r="F28" s="542" t="s">
        <v>251</v>
      </c>
      <c r="G28" s="542"/>
      <c r="H28" s="542"/>
      <c r="I28" s="542"/>
      <c r="J28" s="542"/>
      <c r="K28" s="542"/>
      <c r="L28" s="542"/>
      <c r="M28" s="542"/>
      <c r="N28" s="542"/>
    </row>
    <row r="29" spans="1:16" x14ac:dyDescent="0.25">
      <c r="A29" s="13"/>
      <c r="B29" s="13"/>
      <c r="C29" s="148"/>
      <c r="D29" s="1"/>
      <c r="E29" s="542"/>
      <c r="F29" s="542"/>
      <c r="G29" s="542"/>
      <c r="H29" s="542"/>
      <c r="I29" s="542"/>
      <c r="J29" s="542"/>
      <c r="K29" s="542"/>
      <c r="L29" s="542"/>
      <c r="M29" s="542"/>
      <c r="N29" s="542"/>
    </row>
    <row r="30" spans="1:16" x14ac:dyDescent="0.25">
      <c r="A30" s="13"/>
      <c r="B30" s="13"/>
      <c r="C30" s="148"/>
      <c r="D30" s="1"/>
      <c r="E30" s="542"/>
      <c r="F30" s="542"/>
      <c r="G30" s="542"/>
      <c r="H30" s="542"/>
      <c r="I30" s="542"/>
      <c r="J30" s="542"/>
      <c r="K30" s="542"/>
      <c r="L30" s="542"/>
      <c r="M30" s="542"/>
      <c r="N30" s="542"/>
    </row>
    <row r="31" spans="1:16" x14ac:dyDescent="0.25">
      <c r="A31" s="13"/>
      <c r="B31" s="13"/>
      <c r="C31" s="148"/>
      <c r="D31" s="1"/>
      <c r="E31" s="542"/>
      <c r="F31" s="542"/>
      <c r="G31" s="542"/>
      <c r="H31" s="542"/>
      <c r="I31" s="542"/>
      <c r="J31" s="542"/>
      <c r="K31" s="542"/>
      <c r="L31" s="542"/>
      <c r="M31" s="542"/>
      <c r="N31" s="542"/>
    </row>
    <row r="32" spans="1:16" x14ac:dyDescent="0.25">
      <c r="A32" s="13"/>
      <c r="B32" s="13"/>
      <c r="C32" s="148"/>
      <c r="D32" s="1"/>
      <c r="E32" s="542"/>
      <c r="F32" s="542"/>
      <c r="G32" s="542"/>
      <c r="H32" s="542"/>
      <c r="I32" s="542"/>
      <c r="J32" s="542"/>
      <c r="K32" s="542"/>
      <c r="L32" s="542"/>
      <c r="M32" s="542"/>
      <c r="N32" s="542"/>
    </row>
    <row r="33" spans="1:14" x14ac:dyDescent="0.25">
      <c r="A33" s="13"/>
      <c r="B33" s="13"/>
      <c r="C33" s="148"/>
      <c r="D33" s="1"/>
      <c r="E33" s="542"/>
      <c r="F33" s="542"/>
      <c r="G33" s="542"/>
      <c r="H33" s="542"/>
      <c r="I33" s="542"/>
      <c r="J33" s="542"/>
      <c r="K33" s="542"/>
      <c r="L33" s="542"/>
      <c r="M33" s="542"/>
      <c r="N33" s="542"/>
    </row>
    <row r="34" spans="1:14" x14ac:dyDescent="0.2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56" spans="1:16" x14ac:dyDescent="0.25">
      <c r="A56" s="500" t="s">
        <v>95</v>
      </c>
      <c r="B56" s="543"/>
      <c r="C56" s="3" t="s">
        <v>97</v>
      </c>
      <c r="D56" s="3" t="s">
        <v>98</v>
      </c>
      <c r="E56" s="3" t="s">
        <v>99</v>
      </c>
      <c r="F56" s="3" t="s">
        <v>100</v>
      </c>
      <c r="G56" s="3" t="s">
        <v>101</v>
      </c>
      <c r="H56" s="3" t="s">
        <v>102</v>
      </c>
      <c r="I56" s="3" t="s">
        <v>103</v>
      </c>
      <c r="J56" s="3" t="s">
        <v>104</v>
      </c>
      <c r="K56" s="3" t="s">
        <v>105</v>
      </c>
      <c r="L56" s="3" t="s">
        <v>106</v>
      </c>
      <c r="M56" s="3" t="s">
        <v>107</v>
      </c>
      <c r="N56" s="3" t="s">
        <v>108</v>
      </c>
      <c r="O56" s="3" t="s">
        <v>141</v>
      </c>
      <c r="P56" s="3" t="s">
        <v>110</v>
      </c>
    </row>
    <row r="57" spans="1:16" x14ac:dyDescent="0.25">
      <c r="A57" s="9" t="s">
        <v>178</v>
      </c>
      <c r="B57" s="87">
        <v>90</v>
      </c>
      <c r="C57" s="90">
        <v>90</v>
      </c>
      <c r="D57" s="90">
        <v>90</v>
      </c>
      <c r="E57" s="90">
        <v>90</v>
      </c>
      <c r="F57" s="90">
        <v>90</v>
      </c>
      <c r="G57" s="90">
        <v>90</v>
      </c>
      <c r="H57" s="90">
        <v>90</v>
      </c>
      <c r="I57" s="90">
        <v>90</v>
      </c>
      <c r="J57" s="90">
        <v>90</v>
      </c>
      <c r="K57" s="90">
        <v>90</v>
      </c>
      <c r="L57" s="90">
        <v>90</v>
      </c>
      <c r="M57" s="90">
        <v>90</v>
      </c>
      <c r="N57" s="90">
        <v>90</v>
      </c>
      <c r="O57" s="3"/>
      <c r="P57" s="3"/>
    </row>
    <row r="58" spans="1:16" x14ac:dyDescent="0.25">
      <c r="A58" s="500" t="s">
        <v>252</v>
      </c>
      <c r="B58" s="543"/>
      <c r="C58" s="41">
        <v>90.5</v>
      </c>
      <c r="D58" s="41">
        <v>92.33</v>
      </c>
      <c r="E58" s="41">
        <v>94.91</v>
      </c>
      <c r="F58" s="41">
        <v>96.63</v>
      </c>
      <c r="G58" s="4">
        <v>95.67</v>
      </c>
      <c r="H58" s="4">
        <v>94.72</v>
      </c>
      <c r="I58" s="4" t="s">
        <v>439</v>
      </c>
      <c r="J58" s="4"/>
      <c r="K58" s="4"/>
      <c r="L58" s="4"/>
      <c r="M58" s="4"/>
      <c r="N58" s="4"/>
      <c r="O58" s="41">
        <f>AVERAGE(C58:N58)</f>
        <v>94.126666666666665</v>
      </c>
      <c r="P58" s="544">
        <f>(O58/B57)*100</f>
        <v>104.58518518518518</v>
      </c>
    </row>
    <row r="59" spans="1:16" ht="15" hidden="1" customHeight="1" x14ac:dyDescent="0.25">
      <c r="A59" s="500" t="s">
        <v>253</v>
      </c>
      <c r="B59" s="543"/>
      <c r="C59" s="4">
        <v>100</v>
      </c>
      <c r="D59" s="4">
        <v>100</v>
      </c>
      <c r="E59" s="4">
        <v>95</v>
      </c>
      <c r="F59" s="4"/>
      <c r="G59" s="4"/>
      <c r="H59" s="4"/>
      <c r="I59" s="4"/>
      <c r="J59" s="4"/>
      <c r="K59" s="4"/>
      <c r="L59" s="4"/>
      <c r="M59" s="4"/>
      <c r="N59" s="4"/>
      <c r="O59" s="4">
        <f t="shared" ref="O59:O61" si="2">AVERAGE(C59:N59)</f>
        <v>98.333333333333329</v>
      </c>
      <c r="P59" s="545"/>
    </row>
    <row r="60" spans="1:16" ht="15" hidden="1" customHeight="1" x14ac:dyDescent="0.25">
      <c r="A60" s="500" t="s">
        <v>254</v>
      </c>
      <c r="B60" s="543"/>
      <c r="C60" s="4">
        <v>60</v>
      </c>
      <c r="D60" s="4">
        <v>87</v>
      </c>
      <c r="E60" s="4">
        <v>70</v>
      </c>
      <c r="F60" s="4"/>
      <c r="G60" s="4"/>
      <c r="H60" s="4"/>
      <c r="I60" s="4"/>
      <c r="J60" s="4"/>
      <c r="K60" s="4"/>
      <c r="L60" s="4"/>
      <c r="M60" s="4"/>
      <c r="N60" s="4"/>
      <c r="O60" s="4">
        <f t="shared" si="2"/>
        <v>72.333333333333329</v>
      </c>
      <c r="P60" s="545"/>
    </row>
    <row r="61" spans="1:16" ht="15" hidden="1" customHeight="1" x14ac:dyDescent="0.25">
      <c r="A61" s="500" t="s">
        <v>255</v>
      </c>
      <c r="B61" s="543"/>
      <c r="C61" s="4">
        <v>100</v>
      </c>
      <c r="D61" s="4">
        <v>96</v>
      </c>
      <c r="E61" s="4">
        <v>80</v>
      </c>
      <c r="F61" s="7"/>
      <c r="G61" s="7"/>
      <c r="H61" s="7"/>
      <c r="I61" s="7"/>
      <c r="J61" s="7"/>
      <c r="K61" s="7"/>
      <c r="L61" s="7"/>
      <c r="M61" s="7"/>
      <c r="N61" s="7"/>
      <c r="O61" s="4">
        <f t="shared" si="2"/>
        <v>92</v>
      </c>
      <c r="P61" s="546"/>
    </row>
    <row r="62" spans="1:16" ht="15" hidden="1" customHeight="1" x14ac:dyDescent="0.25">
      <c r="A62" s="500" t="s">
        <v>256</v>
      </c>
      <c r="B62" s="543"/>
      <c r="C62" s="28">
        <f>C58/B57</f>
        <v>1.0055555555555555</v>
      </c>
      <c r="D62" s="28">
        <f>D58/B57</f>
        <v>1.0258888888888889</v>
      </c>
      <c r="E62" s="28">
        <f>E58/B57</f>
        <v>1.0545555555555555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3"/>
    </row>
    <row r="86" spans="1:16" x14ac:dyDescent="0.25">
      <c r="A86" s="493" t="s">
        <v>95</v>
      </c>
      <c r="B86" s="493"/>
      <c r="C86" s="3" t="s">
        <v>97</v>
      </c>
      <c r="D86" s="3" t="s">
        <v>98</v>
      </c>
      <c r="E86" s="3" t="s">
        <v>99</v>
      </c>
      <c r="F86" s="3" t="s">
        <v>100</v>
      </c>
      <c r="G86" s="3" t="s">
        <v>101</v>
      </c>
      <c r="H86" s="3" t="s">
        <v>102</v>
      </c>
      <c r="I86" s="3" t="s">
        <v>103</v>
      </c>
      <c r="J86" s="3" t="s">
        <v>104</v>
      </c>
      <c r="K86" s="3" t="s">
        <v>105</v>
      </c>
      <c r="L86" s="3" t="s">
        <v>106</v>
      </c>
      <c r="M86" s="3" t="s">
        <v>107</v>
      </c>
      <c r="N86" s="3" t="s">
        <v>108</v>
      </c>
      <c r="O86" s="3" t="s">
        <v>141</v>
      </c>
      <c r="P86" s="3" t="s">
        <v>110</v>
      </c>
    </row>
    <row r="87" spans="1:16" x14ac:dyDescent="0.25">
      <c r="A87" s="9" t="s">
        <v>178</v>
      </c>
      <c r="B87" s="86">
        <v>1</v>
      </c>
      <c r="C87" s="90">
        <v>100</v>
      </c>
      <c r="D87" s="90">
        <v>100</v>
      </c>
      <c r="E87" s="90">
        <v>100</v>
      </c>
      <c r="F87" s="90">
        <v>100</v>
      </c>
      <c r="G87" s="90">
        <v>100</v>
      </c>
      <c r="H87" s="90">
        <v>100</v>
      </c>
      <c r="I87" s="90">
        <v>100</v>
      </c>
      <c r="J87" s="90">
        <v>100</v>
      </c>
      <c r="K87" s="90">
        <v>100</v>
      </c>
      <c r="L87" s="90">
        <v>100</v>
      </c>
      <c r="M87" s="90">
        <v>100</v>
      </c>
      <c r="N87" s="90">
        <v>100</v>
      </c>
      <c r="O87" s="3"/>
      <c r="P87" s="3"/>
    </row>
    <row r="88" spans="1:16" x14ac:dyDescent="0.25">
      <c r="A88" s="493" t="s">
        <v>257</v>
      </c>
      <c r="B88" s="493"/>
      <c r="C88" s="4">
        <v>516290</v>
      </c>
      <c r="D88" s="4">
        <v>155801</v>
      </c>
      <c r="E88" s="4">
        <v>672828</v>
      </c>
      <c r="F88" s="4">
        <v>143579</v>
      </c>
      <c r="G88" s="4">
        <v>195523</v>
      </c>
      <c r="H88" s="149">
        <v>443459</v>
      </c>
      <c r="I88" s="149">
        <v>39802</v>
      </c>
      <c r="J88" s="4"/>
      <c r="K88" s="4"/>
      <c r="L88" s="4"/>
      <c r="M88" s="4"/>
      <c r="N88" s="4"/>
      <c r="O88" s="4">
        <f>AVERAGE(C88:N88)</f>
        <v>309611.71428571426</v>
      </c>
      <c r="P88" s="548"/>
    </row>
    <row r="89" spans="1:16" x14ac:dyDescent="0.25">
      <c r="A89" s="493" t="s">
        <v>258</v>
      </c>
      <c r="B89" s="493"/>
      <c r="C89" s="4">
        <v>146133</v>
      </c>
      <c r="D89" s="4">
        <v>141159</v>
      </c>
      <c r="E89" s="4">
        <v>686444</v>
      </c>
      <c r="F89" s="4">
        <v>131456</v>
      </c>
      <c r="G89" s="4">
        <v>121765</v>
      </c>
      <c r="H89" s="149">
        <v>120100</v>
      </c>
      <c r="I89" s="149">
        <v>10999</v>
      </c>
      <c r="J89" s="4"/>
      <c r="K89" s="4"/>
      <c r="L89" s="4"/>
      <c r="M89" s="4"/>
      <c r="N89" s="4"/>
      <c r="O89" s="4">
        <f t="shared" ref="O89" si="3">AVERAGE(C89:N89)</f>
        <v>194008</v>
      </c>
      <c r="P89" s="549"/>
    </row>
    <row r="90" spans="1:16" x14ac:dyDescent="0.25">
      <c r="A90" s="493" t="s">
        <v>256</v>
      </c>
      <c r="B90" s="493"/>
      <c r="C90" s="396">
        <f>C89/C88*100</f>
        <v>28.304441302368822</v>
      </c>
      <c r="D90" s="396">
        <f>D89/D88*100</f>
        <v>90.602114235467042</v>
      </c>
      <c r="E90" s="396">
        <f>E89/E88*100</f>
        <v>102.02369699239628</v>
      </c>
      <c r="F90" s="396">
        <f>F89/F88*100</f>
        <v>91.556564678678626</v>
      </c>
      <c r="G90" s="396">
        <f>G89/G88*100</f>
        <v>62.276560813817305</v>
      </c>
      <c r="H90" s="396">
        <f t="shared" ref="H90:I90" si="4">H89/H88*100</f>
        <v>27.082548781285304</v>
      </c>
      <c r="I90" s="396">
        <f t="shared" si="4"/>
        <v>27.634289734184215</v>
      </c>
      <c r="J90" s="32"/>
      <c r="K90" s="32"/>
      <c r="L90" s="32"/>
      <c r="M90" s="32"/>
      <c r="N90" s="32"/>
      <c r="O90" s="397">
        <f>AVERAGE(C90:I90)</f>
        <v>61.354316648313947</v>
      </c>
      <c r="P90" s="550"/>
    </row>
  </sheetData>
  <mergeCells count="28">
    <mergeCell ref="A90:B90"/>
    <mergeCell ref="A86:B86"/>
    <mergeCell ref="A88:B88"/>
    <mergeCell ref="A89:B89"/>
    <mergeCell ref="P88:P90"/>
    <mergeCell ref="P58:P61"/>
    <mergeCell ref="A25:B25"/>
    <mergeCell ref="A22:B22"/>
    <mergeCell ref="A28:B28"/>
    <mergeCell ref="A26:B26"/>
    <mergeCell ref="A27:B27"/>
    <mergeCell ref="A24:B24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N28:N33"/>
    <mergeCell ref="A62:B62"/>
    <mergeCell ref="A56:B56"/>
    <mergeCell ref="A58:B58"/>
    <mergeCell ref="A59:B59"/>
    <mergeCell ref="A60:B60"/>
    <mergeCell ref="A61:B61"/>
  </mergeCells>
  <phoneticPr fontId="3" type="noConversion"/>
  <printOptions horizontalCentered="1" verticalCentered="1"/>
  <pageMargins left="0.31496062992125984" right="0.31496062992125984" top="0.78740157480314965" bottom="0.78740157480314965" header="0.31496062992125984" footer="0.31496062992125984"/>
  <pageSetup paperSize="9" scale="38" orientation="landscape" horizontalDpi="0" verticalDpi="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2DAA-450E-44E3-B621-D8E685C4A93A}">
  <sheetPr>
    <pageSetUpPr fitToPage="1"/>
  </sheetPr>
  <dimension ref="A22:AY168"/>
  <sheetViews>
    <sheetView showGridLines="0" topLeftCell="A115" zoomScale="82" zoomScaleNormal="82" workbookViewId="0">
      <selection activeCell="AG160" sqref="AG159:AG160"/>
    </sheetView>
  </sheetViews>
  <sheetFormatPr defaultRowHeight="15" x14ac:dyDescent="0.25"/>
  <cols>
    <col min="3" max="4" width="10.7109375" bestFit="1" customWidth="1"/>
    <col min="5" max="5" width="11.5703125" bestFit="1" customWidth="1"/>
    <col min="6" max="6" width="10.7109375" bestFit="1" customWidth="1"/>
    <col min="7" max="10" width="10.5703125" bestFit="1" customWidth="1"/>
    <col min="15" max="15" width="11.28515625" bestFit="1" customWidth="1"/>
    <col min="19" max="19" width="13" bestFit="1" customWidth="1"/>
    <col min="20" max="20" width="12.140625" bestFit="1" customWidth="1"/>
    <col min="21" max="22" width="12.42578125" bestFit="1" customWidth="1"/>
    <col min="23" max="24" width="12.140625" bestFit="1" customWidth="1"/>
    <col min="25" max="25" width="11.5703125" bestFit="1" customWidth="1"/>
    <col min="26" max="26" width="12.140625" bestFit="1" customWidth="1"/>
    <col min="27" max="27" width="10.5703125" bestFit="1" customWidth="1"/>
    <col min="31" max="31" width="12.140625" bestFit="1" customWidth="1"/>
    <col min="37" max="37" width="13.140625" bestFit="1" customWidth="1"/>
    <col min="38" max="39" width="10.140625" bestFit="1" customWidth="1"/>
    <col min="40" max="43" width="9.5703125" bestFit="1" customWidth="1"/>
    <col min="50" max="50" width="9.28515625" bestFit="1" customWidth="1"/>
    <col min="51" max="51" width="10.140625" bestFit="1" customWidth="1"/>
  </cols>
  <sheetData>
    <row r="22" spans="1:16" x14ac:dyDescent="0.25">
      <c r="A22" s="493" t="s">
        <v>95</v>
      </c>
      <c r="B22" s="493"/>
      <c r="C22" s="3" t="s">
        <v>97</v>
      </c>
      <c r="D22" s="3" t="s">
        <v>98</v>
      </c>
      <c r="E22" s="3" t="s">
        <v>99</v>
      </c>
      <c r="F22" s="3" t="s">
        <v>100</v>
      </c>
      <c r="G22" s="3" t="s">
        <v>101</v>
      </c>
      <c r="H22" s="3" t="s">
        <v>102</v>
      </c>
      <c r="I22" s="3" t="s">
        <v>103</v>
      </c>
      <c r="J22" s="3" t="s">
        <v>104</v>
      </c>
      <c r="K22" s="3" t="s">
        <v>105</v>
      </c>
      <c r="L22" s="3" t="s">
        <v>106</v>
      </c>
      <c r="M22" s="3" t="s">
        <v>107</v>
      </c>
      <c r="N22" s="3" t="s">
        <v>108</v>
      </c>
      <c r="O22" s="3" t="s">
        <v>141</v>
      </c>
      <c r="P22" s="3" t="s">
        <v>110</v>
      </c>
    </row>
    <row r="23" spans="1:16" x14ac:dyDescent="0.25">
      <c r="A23" s="30" t="s">
        <v>178</v>
      </c>
      <c r="B23" s="31">
        <v>0.95</v>
      </c>
      <c r="C23" s="29">
        <v>0.95</v>
      </c>
      <c r="D23" s="29">
        <v>0.95</v>
      </c>
      <c r="E23" s="29">
        <v>0.95</v>
      </c>
      <c r="F23" s="29">
        <v>0.95</v>
      </c>
      <c r="G23" s="29">
        <v>0.95</v>
      </c>
      <c r="H23" s="29">
        <v>0.95</v>
      </c>
      <c r="I23" s="29">
        <v>0.95</v>
      </c>
      <c r="J23" s="29">
        <v>0.95</v>
      </c>
      <c r="K23" s="29">
        <v>0.95</v>
      </c>
      <c r="L23" s="29">
        <v>0.95</v>
      </c>
      <c r="M23" s="29">
        <v>0.95</v>
      </c>
      <c r="N23" s="29">
        <v>0.95</v>
      </c>
      <c r="O23" s="25"/>
      <c r="P23" s="18"/>
    </row>
    <row r="24" spans="1:16" x14ac:dyDescent="0.25">
      <c r="A24" s="493" t="s">
        <v>259</v>
      </c>
      <c r="B24" s="49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 t="e">
        <f>AVERAGE(C24:N24)</f>
        <v>#DIV/0!</v>
      </c>
      <c r="P24" s="28" t="e">
        <f>O26/B23</f>
        <v>#DIV/0!</v>
      </c>
    </row>
    <row r="25" spans="1:16" x14ac:dyDescent="0.25">
      <c r="A25" s="493" t="s">
        <v>260</v>
      </c>
      <c r="B25" s="49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 t="e">
        <f>AVERAGE(C25:N25)</f>
        <v>#DIV/0!</v>
      </c>
      <c r="P25" s="5"/>
    </row>
    <row r="26" spans="1:16" x14ac:dyDescent="0.25">
      <c r="A26" s="493" t="s">
        <v>204</v>
      </c>
      <c r="B26" s="493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 t="e">
        <f t="shared" ref="O26" si="0">O25/O24</f>
        <v>#DIV/0!</v>
      </c>
      <c r="P26" s="5"/>
    </row>
    <row r="27" spans="1:16" x14ac:dyDescent="0.25">
      <c r="A27" s="494" t="s">
        <v>261</v>
      </c>
      <c r="B27" s="49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52" spans="1:16" x14ac:dyDescent="0.25">
      <c r="A52" s="493" t="s">
        <v>95</v>
      </c>
      <c r="B52" s="493"/>
      <c r="C52" s="3" t="s">
        <v>97</v>
      </c>
      <c r="D52" s="3" t="s">
        <v>98</v>
      </c>
      <c r="E52" s="3" t="s">
        <v>99</v>
      </c>
      <c r="F52" s="3" t="s">
        <v>100</v>
      </c>
      <c r="G52" s="3" t="s">
        <v>101</v>
      </c>
      <c r="H52" s="3" t="s">
        <v>102</v>
      </c>
      <c r="I52" s="3" t="s">
        <v>103</v>
      </c>
      <c r="J52" s="3" t="s">
        <v>104</v>
      </c>
      <c r="K52" s="3" t="s">
        <v>105</v>
      </c>
      <c r="L52" s="3" t="s">
        <v>106</v>
      </c>
      <c r="M52" s="3" t="s">
        <v>107</v>
      </c>
      <c r="N52" s="3" t="s">
        <v>108</v>
      </c>
      <c r="O52" s="3" t="s">
        <v>141</v>
      </c>
      <c r="P52" s="3" t="s">
        <v>110</v>
      </c>
    </row>
    <row r="53" spans="1:16" x14ac:dyDescent="0.25">
      <c r="A53" s="30" t="s">
        <v>178</v>
      </c>
      <c r="B53" s="39">
        <v>1</v>
      </c>
      <c r="C53" s="40">
        <v>1</v>
      </c>
      <c r="D53" s="40">
        <v>1</v>
      </c>
      <c r="E53" s="40">
        <v>1</v>
      </c>
      <c r="F53" s="40">
        <v>1</v>
      </c>
      <c r="G53" s="40">
        <v>1</v>
      </c>
      <c r="H53" s="40">
        <v>1</v>
      </c>
      <c r="I53" s="40">
        <v>1</v>
      </c>
      <c r="J53" s="40">
        <v>1</v>
      </c>
      <c r="K53" s="40">
        <v>1</v>
      </c>
      <c r="L53" s="40">
        <v>1</v>
      </c>
      <c r="M53" s="40">
        <v>1</v>
      </c>
      <c r="N53" s="40">
        <v>1</v>
      </c>
      <c r="O53" s="25"/>
      <c r="P53" s="18"/>
    </row>
    <row r="54" spans="1:16" x14ac:dyDescent="0.25">
      <c r="A54" s="493" t="s">
        <v>262</v>
      </c>
      <c r="B54" s="49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1" t="e">
        <f>AVERAGE(C54:N54)</f>
        <v>#DIV/0!</v>
      </c>
      <c r="P54" s="28">
        <f>O56/B53</f>
        <v>0</v>
      </c>
    </row>
    <row r="55" spans="1:16" x14ac:dyDescent="0.25">
      <c r="A55" s="493"/>
      <c r="B55" s="49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5"/>
    </row>
    <row r="56" spans="1:16" x14ac:dyDescent="0.25">
      <c r="A56" s="493"/>
      <c r="B56" s="493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5"/>
    </row>
    <row r="57" spans="1:16" x14ac:dyDescent="0.25">
      <c r="A57" s="494" t="s">
        <v>261</v>
      </c>
      <c r="B57" s="494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78" spans="1:16" x14ac:dyDescent="0.25">
      <c r="A78" s="493" t="s">
        <v>95</v>
      </c>
      <c r="B78" s="493"/>
      <c r="C78" s="3" t="s">
        <v>97</v>
      </c>
      <c r="D78" s="3" t="s">
        <v>98</v>
      </c>
      <c r="E78" s="3" t="s">
        <v>99</v>
      </c>
      <c r="F78" s="3" t="s">
        <v>100</v>
      </c>
      <c r="G78" s="3" t="s">
        <v>101</v>
      </c>
      <c r="H78" s="3" t="s">
        <v>102</v>
      </c>
      <c r="I78" s="3" t="s">
        <v>103</v>
      </c>
      <c r="J78" s="3" t="s">
        <v>104</v>
      </c>
      <c r="K78" s="3" t="s">
        <v>105</v>
      </c>
      <c r="L78" s="3" t="s">
        <v>106</v>
      </c>
      <c r="M78" s="3" t="s">
        <v>107</v>
      </c>
      <c r="N78" s="3" t="s">
        <v>108</v>
      </c>
      <c r="O78" s="3" t="s">
        <v>141</v>
      </c>
      <c r="P78" s="3" t="s">
        <v>110</v>
      </c>
    </row>
    <row r="79" spans="1:16" x14ac:dyDescent="0.25">
      <c r="A79" s="30" t="s">
        <v>178</v>
      </c>
      <c r="B79" s="39">
        <v>1</v>
      </c>
      <c r="C79" s="40">
        <v>1</v>
      </c>
      <c r="D79" s="40">
        <v>1</v>
      </c>
      <c r="E79" s="40">
        <v>1</v>
      </c>
      <c r="F79" s="40">
        <v>1</v>
      </c>
      <c r="G79" s="40">
        <v>1</v>
      </c>
      <c r="H79" s="40">
        <v>1</v>
      </c>
      <c r="I79" s="40">
        <v>1</v>
      </c>
      <c r="J79" s="40">
        <v>1</v>
      </c>
      <c r="K79" s="40">
        <v>1</v>
      </c>
      <c r="L79" s="40">
        <v>1</v>
      </c>
      <c r="M79" s="40">
        <v>1</v>
      </c>
      <c r="N79" s="40">
        <v>1</v>
      </c>
      <c r="O79" s="25"/>
      <c r="P79" s="18"/>
    </row>
    <row r="80" spans="1:16" x14ac:dyDescent="0.25">
      <c r="A80" s="493" t="s">
        <v>263</v>
      </c>
      <c r="B80" s="49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1" t="e">
        <f>AVERAGE(C80:N80)</f>
        <v>#DIV/0!</v>
      </c>
      <c r="P80" s="28"/>
    </row>
    <row r="81" spans="1:14" x14ac:dyDescent="0.25">
      <c r="A81" s="494" t="s">
        <v>261</v>
      </c>
      <c r="B81" s="494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104" spans="1:31" x14ac:dyDescent="0.25">
      <c r="A104" s="3" t="s">
        <v>264</v>
      </c>
      <c r="B104" s="3" t="s">
        <v>95</v>
      </c>
      <c r="C104" s="94" t="s">
        <v>97</v>
      </c>
      <c r="D104" s="94" t="s">
        <v>98</v>
      </c>
      <c r="E104" s="94" t="s">
        <v>99</v>
      </c>
      <c r="F104" s="94" t="s">
        <v>100</v>
      </c>
      <c r="G104" s="94" t="s">
        <v>101</v>
      </c>
      <c r="H104" s="94" t="s">
        <v>102</v>
      </c>
      <c r="I104" s="94" t="s">
        <v>103</v>
      </c>
      <c r="J104" s="94" t="s">
        <v>104</v>
      </c>
      <c r="K104" s="94" t="s">
        <v>105</v>
      </c>
      <c r="L104" s="94" t="s">
        <v>106</v>
      </c>
      <c r="M104" s="94" t="s">
        <v>107</v>
      </c>
      <c r="N104" s="94" t="s">
        <v>108</v>
      </c>
      <c r="O104" s="3" t="s">
        <v>141</v>
      </c>
      <c r="P104" s="95"/>
      <c r="Q104" s="3" t="s">
        <v>264</v>
      </c>
      <c r="R104" s="3" t="s">
        <v>95</v>
      </c>
      <c r="S104" s="94" t="s">
        <v>97</v>
      </c>
      <c r="T104" s="94" t="s">
        <v>98</v>
      </c>
      <c r="U104" s="94" t="s">
        <v>99</v>
      </c>
      <c r="V104" s="94" t="s">
        <v>100</v>
      </c>
      <c r="W104" s="94" t="s">
        <v>101</v>
      </c>
      <c r="X104" s="94" t="s">
        <v>102</v>
      </c>
      <c r="Y104" s="94" t="s">
        <v>103</v>
      </c>
      <c r="Z104" s="94" t="s">
        <v>104</v>
      </c>
      <c r="AA104" s="94" t="s">
        <v>105</v>
      </c>
      <c r="AB104" s="94" t="s">
        <v>106</v>
      </c>
      <c r="AC104" s="94" t="s">
        <v>107</v>
      </c>
      <c r="AD104" s="94" t="s">
        <v>108</v>
      </c>
      <c r="AE104" s="3" t="s">
        <v>141</v>
      </c>
    </row>
    <row r="105" spans="1:31" x14ac:dyDescent="0.25">
      <c r="A105" s="500" t="s">
        <v>265</v>
      </c>
      <c r="B105" s="543"/>
      <c r="C105" s="4">
        <v>385534</v>
      </c>
      <c r="D105" s="4">
        <v>481224</v>
      </c>
      <c r="E105" s="4">
        <v>389322</v>
      </c>
      <c r="F105" s="4">
        <v>360414</v>
      </c>
      <c r="G105" s="4">
        <v>426680</v>
      </c>
      <c r="H105" s="4">
        <f>522798+5760</f>
        <v>528558</v>
      </c>
      <c r="I105" s="4">
        <v>0</v>
      </c>
      <c r="J105" s="4">
        <v>725809</v>
      </c>
      <c r="K105" s="4"/>
      <c r="L105" s="4"/>
      <c r="M105" s="4"/>
      <c r="N105" s="4"/>
      <c r="O105" s="4">
        <f>AVERAGE(C105:N105)</f>
        <v>412192.625</v>
      </c>
      <c r="P105" s="96"/>
      <c r="Q105" s="500" t="s">
        <v>265</v>
      </c>
      <c r="R105" s="543"/>
      <c r="S105" s="41">
        <v>751759.71</v>
      </c>
      <c r="T105" s="41">
        <v>822965.15</v>
      </c>
      <c r="U105" s="41">
        <v>794264.07</v>
      </c>
      <c r="V105" s="41">
        <v>648195.51</v>
      </c>
      <c r="W105" s="41">
        <v>625437.04</v>
      </c>
      <c r="X105" s="41">
        <v>466627.22</v>
      </c>
      <c r="Y105" s="41">
        <v>0</v>
      </c>
      <c r="Z105" s="41">
        <v>654343.42000000004</v>
      </c>
      <c r="AA105" s="4"/>
      <c r="AB105" s="4"/>
      <c r="AC105" s="4"/>
      <c r="AD105" s="4"/>
      <c r="AE105" s="41">
        <f>AVERAGE(S105:AD105)</f>
        <v>595449.0149999999</v>
      </c>
    </row>
    <row r="106" spans="1:31" x14ac:dyDescent="0.25">
      <c r="A106" s="500" t="s">
        <v>266</v>
      </c>
      <c r="B106" s="543"/>
      <c r="C106" s="4">
        <v>10985</v>
      </c>
      <c r="D106" s="4">
        <v>10384</v>
      </c>
      <c r="E106" s="4">
        <v>16891</v>
      </c>
      <c r="F106" s="4">
        <v>19925</v>
      </c>
      <c r="G106" s="4">
        <v>28497</v>
      </c>
      <c r="H106" s="4">
        <v>4905</v>
      </c>
      <c r="I106" s="4">
        <v>0</v>
      </c>
      <c r="J106" s="4">
        <v>28340</v>
      </c>
      <c r="K106" s="4"/>
      <c r="L106" s="4"/>
      <c r="M106" s="4"/>
      <c r="N106" s="4"/>
      <c r="O106" s="4">
        <f t="shared" ref="O106:O117" si="1">AVERAGE(C106:N106)</f>
        <v>14990.875</v>
      </c>
      <c r="P106" s="95"/>
      <c r="Q106" s="500" t="s">
        <v>266</v>
      </c>
      <c r="R106" s="543"/>
      <c r="S106" s="41">
        <v>107095.41</v>
      </c>
      <c r="T106" s="41">
        <v>122335.33</v>
      </c>
      <c r="U106" s="41">
        <v>192951.12</v>
      </c>
      <c r="V106" s="41">
        <v>235746.6</v>
      </c>
      <c r="W106" s="41">
        <v>339002.14</v>
      </c>
      <c r="X106" s="41">
        <v>57194.98</v>
      </c>
      <c r="Y106" s="41">
        <v>0</v>
      </c>
      <c r="Z106" s="41">
        <v>280675.61</v>
      </c>
      <c r="AA106" s="3"/>
      <c r="AB106" s="3"/>
      <c r="AC106" s="3"/>
      <c r="AD106" s="3"/>
      <c r="AE106" s="41">
        <f t="shared" ref="AE106:AE117" si="2">AVERAGE(S106:AD106)</f>
        <v>166875.14874999999</v>
      </c>
    </row>
    <row r="107" spans="1:31" ht="15" hidden="1" customHeight="1" x14ac:dyDescent="0.25">
      <c r="A107" s="500" t="s">
        <v>267</v>
      </c>
      <c r="B107" s="54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 t="e">
        <f t="shared" si="1"/>
        <v>#DIV/0!</v>
      </c>
      <c r="P107" s="95"/>
      <c r="Q107" s="500" t="s">
        <v>267</v>
      </c>
      <c r="R107" s="543"/>
      <c r="S107" s="41"/>
      <c r="T107" s="41"/>
      <c r="U107" s="41"/>
      <c r="V107" s="41"/>
      <c r="W107" s="41"/>
      <c r="X107" s="41"/>
      <c r="Y107" s="41"/>
      <c r="Z107" s="41"/>
      <c r="AA107" s="3"/>
      <c r="AB107" s="3"/>
      <c r="AC107" s="3"/>
      <c r="AD107" s="3"/>
      <c r="AE107" s="41" t="e">
        <f t="shared" si="2"/>
        <v>#DIV/0!</v>
      </c>
    </row>
    <row r="108" spans="1:31" ht="15" hidden="1" customHeight="1" x14ac:dyDescent="0.25">
      <c r="A108" s="2" t="s">
        <v>268</v>
      </c>
      <c r="B108" s="2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 t="e">
        <f t="shared" si="1"/>
        <v>#DIV/0!</v>
      </c>
      <c r="P108" s="95"/>
      <c r="Q108" s="2" t="s">
        <v>268</v>
      </c>
      <c r="R108" s="2"/>
      <c r="S108" s="41"/>
      <c r="T108" s="41"/>
      <c r="U108" s="41"/>
      <c r="V108" s="41"/>
      <c r="W108" s="41"/>
      <c r="X108" s="41"/>
      <c r="Y108" s="41"/>
      <c r="Z108" s="41"/>
      <c r="AA108" s="3"/>
      <c r="AB108" s="3"/>
      <c r="AC108" s="3"/>
      <c r="AD108" s="3"/>
      <c r="AE108" s="41" t="e">
        <f t="shared" si="2"/>
        <v>#DIV/0!</v>
      </c>
    </row>
    <row r="109" spans="1:31" ht="15" hidden="1" customHeight="1" x14ac:dyDescent="0.25">
      <c r="A109" s="2" t="s">
        <v>269</v>
      </c>
      <c r="B109" s="2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 t="e">
        <f t="shared" si="1"/>
        <v>#DIV/0!</v>
      </c>
      <c r="P109" s="95"/>
      <c r="Q109" s="2" t="s">
        <v>269</v>
      </c>
      <c r="R109" s="2"/>
      <c r="S109" s="41"/>
      <c r="T109" s="41"/>
      <c r="U109" s="41"/>
      <c r="V109" s="41"/>
      <c r="W109" s="41"/>
      <c r="X109" s="41"/>
      <c r="Y109" s="41"/>
      <c r="Z109" s="41"/>
      <c r="AA109" s="3"/>
      <c r="AB109" s="3"/>
      <c r="AC109" s="3"/>
      <c r="AD109" s="3"/>
      <c r="AE109" s="41" t="e">
        <f t="shared" si="2"/>
        <v>#DIV/0!</v>
      </c>
    </row>
    <row r="110" spans="1:31" ht="15" hidden="1" customHeight="1" x14ac:dyDescent="0.25">
      <c r="A110" s="2" t="s">
        <v>270</v>
      </c>
      <c r="B110" s="2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 t="e">
        <f t="shared" si="1"/>
        <v>#DIV/0!</v>
      </c>
      <c r="P110" s="95"/>
      <c r="Q110" s="2" t="s">
        <v>270</v>
      </c>
      <c r="R110" s="2"/>
      <c r="S110" s="41"/>
      <c r="T110" s="41"/>
      <c r="U110" s="41"/>
      <c r="V110" s="41"/>
      <c r="W110" s="41"/>
      <c r="X110" s="41"/>
      <c r="Y110" s="41"/>
      <c r="Z110" s="41"/>
      <c r="AA110" s="3"/>
      <c r="AB110" s="3"/>
      <c r="AC110" s="3"/>
      <c r="AD110" s="3"/>
      <c r="AE110" s="41" t="e">
        <f t="shared" si="2"/>
        <v>#DIV/0!</v>
      </c>
    </row>
    <row r="111" spans="1:31" x14ac:dyDescent="0.25">
      <c r="A111" s="500" t="s">
        <v>271</v>
      </c>
      <c r="B111" s="543"/>
      <c r="C111" s="4">
        <v>2839</v>
      </c>
      <c r="D111" s="4">
        <v>2784</v>
      </c>
      <c r="E111" s="4">
        <v>2855</v>
      </c>
      <c r="F111" s="4">
        <v>2736</v>
      </c>
      <c r="G111" s="4">
        <v>2683</v>
      </c>
      <c r="H111" s="4">
        <v>2689</v>
      </c>
      <c r="I111" s="4">
        <v>0</v>
      </c>
      <c r="J111" s="4">
        <v>2604</v>
      </c>
      <c r="K111" s="4"/>
      <c r="L111" s="4"/>
      <c r="M111" s="4"/>
      <c r="N111" s="4"/>
      <c r="O111" s="4">
        <f t="shared" si="1"/>
        <v>2398.75</v>
      </c>
      <c r="P111" s="95"/>
      <c r="Q111" s="500" t="s">
        <v>271</v>
      </c>
      <c r="R111" s="543"/>
      <c r="S111" s="41">
        <v>424208.71</v>
      </c>
      <c r="T111" s="41">
        <v>396651.04</v>
      </c>
      <c r="U111" s="41">
        <v>390116.54</v>
      </c>
      <c r="V111" s="41">
        <v>378325.63</v>
      </c>
      <c r="W111" s="41">
        <v>377306.89</v>
      </c>
      <c r="X111" s="41">
        <v>383350.93</v>
      </c>
      <c r="Y111" s="41">
        <v>0</v>
      </c>
      <c r="Z111" s="41">
        <v>370101.69</v>
      </c>
      <c r="AA111" s="3"/>
      <c r="AB111" s="3"/>
      <c r="AC111" s="3"/>
      <c r="AD111" s="3"/>
      <c r="AE111" s="41">
        <f t="shared" si="2"/>
        <v>340007.67875000002</v>
      </c>
    </row>
    <row r="112" spans="1:31" x14ac:dyDescent="0.25">
      <c r="A112" s="500" t="s">
        <v>272</v>
      </c>
      <c r="B112" s="543"/>
      <c r="C112" s="4">
        <v>80843</v>
      </c>
      <c r="D112" s="4">
        <v>81069</v>
      </c>
      <c r="E112" s="4">
        <v>79528</v>
      </c>
      <c r="F112" s="4">
        <v>78865</v>
      </c>
      <c r="G112" s="4">
        <v>81909</v>
      </c>
      <c r="H112" s="4">
        <v>79860</v>
      </c>
      <c r="I112" s="4">
        <v>0</v>
      </c>
      <c r="J112" s="4">
        <v>78721</v>
      </c>
      <c r="K112" s="4"/>
      <c r="L112" s="4"/>
      <c r="M112" s="4"/>
      <c r="N112" s="4"/>
      <c r="O112" s="4">
        <f t="shared" si="1"/>
        <v>70099.375</v>
      </c>
      <c r="P112" s="95"/>
      <c r="Q112" s="500" t="s">
        <v>272</v>
      </c>
      <c r="R112" s="543"/>
      <c r="S112" s="41">
        <v>0</v>
      </c>
      <c r="T112" s="41">
        <v>0</v>
      </c>
      <c r="U112" s="41">
        <v>0</v>
      </c>
      <c r="V112" s="41">
        <v>0</v>
      </c>
      <c r="W112" s="41">
        <v>0</v>
      </c>
      <c r="X112" s="41">
        <v>5575542.2300000004</v>
      </c>
      <c r="Y112" s="41">
        <v>0</v>
      </c>
      <c r="Z112" s="41">
        <v>5507997.4000000004</v>
      </c>
      <c r="AA112" s="3"/>
      <c r="AB112" s="3"/>
      <c r="AC112" s="3"/>
      <c r="AD112" s="3"/>
      <c r="AE112" s="41">
        <f t="shared" si="2"/>
        <v>1385442.4537500001</v>
      </c>
    </row>
    <row r="113" spans="1:51" x14ac:dyDescent="0.25">
      <c r="A113" s="500" t="s">
        <v>273</v>
      </c>
      <c r="B113" s="543"/>
      <c r="C113" s="4">
        <v>5085</v>
      </c>
      <c r="D113" s="4">
        <v>7375</v>
      </c>
      <c r="E113" s="4">
        <v>9146</v>
      </c>
      <c r="F113" s="4">
        <v>11547</v>
      </c>
      <c r="G113" s="4">
        <v>10091</v>
      </c>
      <c r="H113" s="4">
        <v>4122</v>
      </c>
      <c r="I113" s="4">
        <v>0</v>
      </c>
      <c r="J113" s="4">
        <v>3394</v>
      </c>
      <c r="K113" s="4"/>
      <c r="L113" s="4"/>
      <c r="M113" s="4"/>
      <c r="N113" s="4"/>
      <c r="O113" s="4">
        <f t="shared" si="1"/>
        <v>6345</v>
      </c>
      <c r="P113" s="95"/>
      <c r="Q113" s="500" t="s">
        <v>273</v>
      </c>
      <c r="R113" s="543"/>
      <c r="S113" s="41">
        <v>41557.21</v>
      </c>
      <c r="T113" s="41">
        <v>68884.509999999995</v>
      </c>
      <c r="U113" s="41">
        <v>52680.33</v>
      </c>
      <c r="V113" s="41">
        <v>106034.7</v>
      </c>
      <c r="W113" s="41">
        <v>85871.89</v>
      </c>
      <c r="X113" s="41">
        <v>34309.58</v>
      </c>
      <c r="Y113" s="41">
        <v>0</v>
      </c>
      <c r="Z113" s="41">
        <v>24597.48</v>
      </c>
      <c r="AA113" s="3"/>
      <c r="AB113" s="3"/>
      <c r="AC113" s="3"/>
      <c r="AD113" s="3"/>
      <c r="AE113" s="41">
        <f t="shared" si="2"/>
        <v>51741.962500000001</v>
      </c>
    </row>
    <row r="114" spans="1:51" x14ac:dyDescent="0.25">
      <c r="A114" s="500" t="s">
        <v>274</v>
      </c>
      <c r="B114" s="543"/>
      <c r="C114" s="4">
        <v>157409</v>
      </c>
      <c r="D114" s="4">
        <v>181585</v>
      </c>
      <c r="E114" s="4">
        <f>173805+1651</f>
        <v>175456</v>
      </c>
      <c r="F114" s="4">
        <v>145125</v>
      </c>
      <c r="G114" s="4">
        <v>162764</v>
      </c>
      <c r="H114" s="4">
        <v>191244</v>
      </c>
      <c r="I114" s="4">
        <v>0</v>
      </c>
      <c r="J114" s="4">
        <v>199683</v>
      </c>
      <c r="K114" s="4"/>
      <c r="L114" s="4"/>
      <c r="M114" s="4"/>
      <c r="N114" s="4"/>
      <c r="O114" s="4">
        <f t="shared" si="1"/>
        <v>151658.25</v>
      </c>
      <c r="P114" s="95"/>
      <c r="Q114" s="500" t="s">
        <v>274</v>
      </c>
      <c r="R114" s="543"/>
      <c r="S114" s="41">
        <v>261347.87</v>
      </c>
      <c r="T114" s="41">
        <v>165682.64000000001</v>
      </c>
      <c r="U114" s="41">
        <f>21591.31+156965.82</f>
        <v>178557.13</v>
      </c>
      <c r="V114" s="41">
        <v>139978.03</v>
      </c>
      <c r="W114" s="41">
        <v>144182.53</v>
      </c>
      <c r="X114" s="41">
        <v>248911.53</v>
      </c>
      <c r="Y114" s="41">
        <v>0</v>
      </c>
      <c r="Z114" s="41">
        <v>209537.72</v>
      </c>
      <c r="AA114" s="3"/>
      <c r="AB114" s="3"/>
      <c r="AC114" s="3"/>
      <c r="AD114" s="3"/>
      <c r="AE114" s="41">
        <f t="shared" si="2"/>
        <v>168524.68124999999</v>
      </c>
    </row>
    <row r="115" spans="1:51" x14ac:dyDescent="0.25">
      <c r="A115" s="500" t="s">
        <v>275</v>
      </c>
      <c r="B115" s="543"/>
      <c r="C115" s="4">
        <v>621762</v>
      </c>
      <c r="D115" s="4">
        <v>433100</v>
      </c>
      <c r="E115" s="4">
        <v>427615</v>
      </c>
      <c r="F115" s="4">
        <v>408961</v>
      </c>
      <c r="G115" s="4">
        <v>404271</v>
      </c>
      <c r="H115" s="4">
        <v>0</v>
      </c>
      <c r="I115" s="4">
        <v>0</v>
      </c>
      <c r="J115" s="4">
        <v>0</v>
      </c>
      <c r="K115" s="4"/>
      <c r="L115" s="4"/>
      <c r="M115" s="4"/>
      <c r="N115" s="4"/>
      <c r="O115" s="4">
        <f t="shared" si="1"/>
        <v>286963.625</v>
      </c>
      <c r="P115" s="95"/>
      <c r="Q115" s="500" t="s">
        <v>275</v>
      </c>
      <c r="R115" s="543"/>
      <c r="S115" s="41">
        <v>397257.24</v>
      </c>
      <c r="T115" s="41">
        <v>219183.97</v>
      </c>
      <c r="U115" s="41">
        <v>212151.57</v>
      </c>
      <c r="V115" s="41">
        <v>202926.65</v>
      </c>
      <c r="W115" s="41">
        <v>197496.87</v>
      </c>
      <c r="X115" s="41"/>
      <c r="Y115" s="41">
        <v>0</v>
      </c>
      <c r="Z115" s="41">
        <v>0</v>
      </c>
      <c r="AA115" s="3"/>
      <c r="AB115" s="3"/>
      <c r="AC115" s="3"/>
      <c r="AD115" s="3"/>
      <c r="AE115" s="41">
        <f t="shared" si="2"/>
        <v>175573.75714285715</v>
      </c>
    </row>
    <row r="116" spans="1:51" x14ac:dyDescent="0.25">
      <c r="A116" s="500" t="s">
        <v>276</v>
      </c>
      <c r="B116" s="543"/>
      <c r="C116" s="4">
        <v>359</v>
      </c>
      <c r="D116" s="4">
        <v>391</v>
      </c>
      <c r="E116" s="4">
        <v>366</v>
      </c>
      <c r="F116" s="4">
        <v>420</v>
      </c>
      <c r="G116" s="4">
        <v>460</v>
      </c>
      <c r="H116" s="4">
        <v>395</v>
      </c>
      <c r="I116" s="4">
        <v>0</v>
      </c>
      <c r="J116" s="4">
        <v>421</v>
      </c>
      <c r="K116" s="4"/>
      <c r="L116" s="4"/>
      <c r="M116" s="4"/>
      <c r="N116" s="4"/>
      <c r="O116" s="4">
        <f t="shared" si="1"/>
        <v>351.5</v>
      </c>
      <c r="P116" s="95"/>
      <c r="Q116" s="500" t="s">
        <v>276</v>
      </c>
      <c r="R116" s="543"/>
      <c r="S116" s="41">
        <v>59814.78</v>
      </c>
      <c r="T116" s="41">
        <v>63916.62</v>
      </c>
      <c r="U116" s="41">
        <v>57257.43</v>
      </c>
      <c r="V116" s="41">
        <v>60925.51</v>
      </c>
      <c r="W116" s="41">
        <v>57607.02</v>
      </c>
      <c r="X116" s="41">
        <v>51104.160000000003</v>
      </c>
      <c r="Y116" s="41">
        <v>0</v>
      </c>
      <c r="Z116" s="41">
        <v>53099.26</v>
      </c>
      <c r="AA116" s="3"/>
      <c r="AB116" s="3"/>
      <c r="AC116" s="3"/>
      <c r="AD116" s="3"/>
      <c r="AE116" s="41">
        <f t="shared" si="2"/>
        <v>50465.597500000003</v>
      </c>
    </row>
    <row r="117" spans="1:51" x14ac:dyDescent="0.25">
      <c r="A117" s="500" t="s">
        <v>277</v>
      </c>
      <c r="B117" s="543"/>
      <c r="C117" s="4">
        <v>1970</v>
      </c>
      <c r="D117" s="4">
        <v>0</v>
      </c>
      <c r="E117" s="4">
        <v>0</v>
      </c>
      <c r="F117" s="4">
        <v>0</v>
      </c>
      <c r="G117" s="4">
        <v>300</v>
      </c>
      <c r="H117" s="4">
        <v>0</v>
      </c>
      <c r="I117" s="4">
        <v>0</v>
      </c>
      <c r="J117" s="4">
        <v>0</v>
      </c>
      <c r="K117" s="4"/>
      <c r="L117" s="4"/>
      <c r="M117" s="4"/>
      <c r="N117" s="4"/>
      <c r="O117" s="4">
        <f t="shared" si="1"/>
        <v>283.75</v>
      </c>
      <c r="P117" s="95"/>
      <c r="Q117" s="500" t="s">
        <v>277</v>
      </c>
      <c r="R117" s="543"/>
      <c r="S117" s="41">
        <v>0</v>
      </c>
      <c r="T117" s="41">
        <v>0</v>
      </c>
      <c r="U117" s="5">
        <v>0</v>
      </c>
      <c r="V117" s="3">
        <v>0</v>
      </c>
      <c r="W117" s="41">
        <v>1744.03</v>
      </c>
      <c r="X117" s="41"/>
      <c r="Y117" s="41">
        <v>0</v>
      </c>
      <c r="Z117" s="41">
        <v>0</v>
      </c>
      <c r="AA117" s="3"/>
      <c r="AB117" s="3"/>
      <c r="AC117" s="3"/>
      <c r="AD117" s="3"/>
      <c r="AE117" s="41">
        <f t="shared" si="2"/>
        <v>249.14714285714285</v>
      </c>
    </row>
    <row r="118" spans="1:51" x14ac:dyDescent="0.25">
      <c r="A118" s="553" t="s">
        <v>278</v>
      </c>
      <c r="B118" s="553"/>
      <c r="C118" s="16">
        <f>SUM(C105:C117)</f>
        <v>1266786</v>
      </c>
      <c r="D118" s="16">
        <f>SUM(D105:D117)</f>
        <v>1197912</v>
      </c>
      <c r="E118" s="16">
        <f>SUM(E105:E117)</f>
        <v>1101179</v>
      </c>
      <c r="F118" s="16">
        <f t="shared" ref="F118:I118" si="3">SUM(F105:F117)</f>
        <v>1027993</v>
      </c>
      <c r="G118" s="16">
        <f t="shared" si="3"/>
        <v>1117655</v>
      </c>
      <c r="H118" s="16">
        <f t="shared" si="3"/>
        <v>811773</v>
      </c>
      <c r="I118" s="16">
        <f t="shared" si="3"/>
        <v>0</v>
      </c>
      <c r="J118" s="16">
        <f t="shared" ref="J118" si="4">SUM(J105:J117)</f>
        <v>1038972</v>
      </c>
      <c r="Q118" s="553" t="s">
        <v>279</v>
      </c>
      <c r="R118" s="553"/>
      <c r="S118" s="22">
        <f>SUM(S105:S117)</f>
        <v>2043040.9300000002</v>
      </c>
      <c r="T118" s="22">
        <f>SUM(T105:T117)</f>
        <v>1859619.26</v>
      </c>
      <c r="U118" s="22">
        <f>SUM(U105:U117)</f>
        <v>1877978.19</v>
      </c>
      <c r="V118" s="22">
        <f>SUM(V105:V117)</f>
        <v>1772132.63</v>
      </c>
      <c r="W118" s="22">
        <f t="shared" ref="W118:Z118" si="5">SUM(W105:W117)</f>
        <v>1828648.41</v>
      </c>
      <c r="X118" s="22">
        <f t="shared" si="5"/>
        <v>6817040.6300000008</v>
      </c>
      <c r="Y118" s="22">
        <f t="shared" si="5"/>
        <v>0</v>
      </c>
      <c r="Z118" s="22">
        <f t="shared" si="5"/>
        <v>7100352.5800000001</v>
      </c>
      <c r="AE118" s="22">
        <v>1926879.46</v>
      </c>
    </row>
    <row r="119" spans="1:51" x14ac:dyDescent="0.25">
      <c r="A119" s="157"/>
      <c r="B119" s="157"/>
      <c r="C119" s="16"/>
      <c r="D119" s="16"/>
      <c r="Q119" s="157"/>
      <c r="R119" s="157"/>
      <c r="S119" s="22"/>
      <c r="T119" s="22"/>
    </row>
    <row r="120" spans="1:51" x14ac:dyDescent="0.25">
      <c r="A120" s="157"/>
      <c r="B120" s="157"/>
      <c r="C120" s="16"/>
      <c r="D120" s="16"/>
      <c r="Q120" s="157"/>
      <c r="R120" s="157"/>
      <c r="S120" s="22"/>
      <c r="T120" s="22"/>
    </row>
    <row r="121" spans="1:51" x14ac:dyDescent="0.25">
      <c r="A121" s="157"/>
      <c r="B121" s="157"/>
      <c r="C121" s="16"/>
      <c r="D121" s="16"/>
      <c r="Q121" s="157"/>
      <c r="R121" s="157"/>
      <c r="S121" s="22"/>
      <c r="T121" s="22"/>
      <c r="AK121" s="554" t="s">
        <v>280</v>
      </c>
      <c r="AL121" s="554"/>
      <c r="AM121" s="554"/>
      <c r="AN121" s="554"/>
      <c r="AO121" s="554"/>
      <c r="AP121" s="554"/>
      <c r="AQ121" s="554"/>
      <c r="AR121" s="554"/>
      <c r="AS121" s="554"/>
      <c r="AT121" s="554"/>
      <c r="AU121" s="554"/>
      <c r="AV121" s="554"/>
      <c r="AW121" s="554"/>
      <c r="AX121" s="554"/>
      <c r="AY121" s="554"/>
    </row>
    <row r="122" spans="1:51" x14ac:dyDescent="0.25">
      <c r="AK122" s="3" t="s">
        <v>281</v>
      </c>
      <c r="AL122" s="94" t="s">
        <v>97</v>
      </c>
      <c r="AM122" s="94" t="s">
        <v>98</v>
      </c>
      <c r="AN122" s="94" t="s">
        <v>99</v>
      </c>
      <c r="AO122" s="94" t="s">
        <v>100</v>
      </c>
      <c r="AP122" s="94" t="s">
        <v>101</v>
      </c>
      <c r="AQ122" s="94" t="s">
        <v>102</v>
      </c>
      <c r="AR122" s="94" t="s">
        <v>103</v>
      </c>
      <c r="AS122" s="94" t="s">
        <v>104</v>
      </c>
      <c r="AT122" s="94" t="s">
        <v>105</v>
      </c>
      <c r="AU122" s="94" t="s">
        <v>106</v>
      </c>
      <c r="AV122" s="94" t="s">
        <v>107</v>
      </c>
      <c r="AW122" s="94" t="s">
        <v>108</v>
      </c>
      <c r="AX122" s="3" t="s">
        <v>141</v>
      </c>
      <c r="AY122" s="94" t="s">
        <v>278</v>
      </c>
    </row>
    <row r="123" spans="1:51" x14ac:dyDescent="0.25">
      <c r="AK123" t="s">
        <v>282</v>
      </c>
      <c r="AL123" s="17">
        <v>0</v>
      </c>
      <c r="AM123" s="17">
        <v>1630</v>
      </c>
      <c r="AN123" s="17">
        <v>1184</v>
      </c>
      <c r="AO123" s="17">
        <v>4189</v>
      </c>
      <c r="AP123" s="17">
        <v>1210</v>
      </c>
      <c r="AQ123" s="17">
        <v>8595</v>
      </c>
      <c r="AR123" s="17">
        <v>960</v>
      </c>
      <c r="AX123" s="17">
        <f>AVERAGE(AL123:AW123)</f>
        <v>2538.2857142857142</v>
      </c>
      <c r="AY123" s="17">
        <f>SUM(AL123:AW123)</f>
        <v>17768</v>
      </c>
    </row>
    <row r="124" spans="1:51" x14ac:dyDescent="0.25">
      <c r="AK124" t="s">
        <v>283</v>
      </c>
      <c r="AL124" s="17">
        <v>13339</v>
      </c>
      <c r="AM124" s="17">
        <v>14698</v>
      </c>
      <c r="AN124" s="17">
        <v>13515</v>
      </c>
      <c r="AO124" s="17">
        <v>8701</v>
      </c>
      <c r="AP124" s="17">
        <v>11870</v>
      </c>
      <c r="AQ124" s="17">
        <v>9798</v>
      </c>
      <c r="AR124" s="17">
        <v>0</v>
      </c>
      <c r="AX124" s="17">
        <f t="shared" ref="AX124:AX131" si="6">AVERAGE(AL124:AW124)</f>
        <v>10274.428571428571</v>
      </c>
      <c r="AY124" s="17">
        <f t="shared" ref="AY124:AY131" si="7">SUM(AL124:AW124)</f>
        <v>71921</v>
      </c>
    </row>
    <row r="125" spans="1:51" x14ac:dyDescent="0.25">
      <c r="AK125" t="s">
        <v>284</v>
      </c>
      <c r="AL125" s="17">
        <v>3645</v>
      </c>
      <c r="AM125" s="17">
        <v>6157</v>
      </c>
      <c r="AN125" s="17">
        <f>7990</f>
        <v>7990</v>
      </c>
      <c r="AO125" s="17">
        <v>7590</v>
      </c>
      <c r="AP125" s="17">
        <v>2356</v>
      </c>
      <c r="AQ125" s="17">
        <v>5292.5</v>
      </c>
      <c r="AR125" s="17">
        <v>1658</v>
      </c>
      <c r="AX125" s="17">
        <f t="shared" si="6"/>
        <v>4955.5</v>
      </c>
      <c r="AY125" s="17">
        <f t="shared" si="7"/>
        <v>34688.5</v>
      </c>
    </row>
    <row r="126" spans="1:51" x14ac:dyDescent="0.25">
      <c r="AK126" t="s">
        <v>285</v>
      </c>
      <c r="AL126" s="17">
        <v>6910</v>
      </c>
      <c r="AM126" s="17">
        <v>9788.48</v>
      </c>
      <c r="AN126" s="17">
        <v>9148.01</v>
      </c>
      <c r="AO126" s="17">
        <v>10983.88</v>
      </c>
      <c r="AP126" s="17">
        <v>10580</v>
      </c>
      <c r="AQ126" s="17">
        <v>5922.93</v>
      </c>
      <c r="AR126" s="17">
        <v>2068.9</v>
      </c>
      <c r="AX126" s="17">
        <f t="shared" si="6"/>
        <v>7914.5999999999995</v>
      </c>
      <c r="AY126" s="17">
        <f t="shared" si="7"/>
        <v>55402.2</v>
      </c>
    </row>
    <row r="127" spans="1:51" x14ac:dyDescent="0.25">
      <c r="AK127" t="s">
        <v>286</v>
      </c>
      <c r="AL127" s="17">
        <v>2042.6</v>
      </c>
      <c r="AM127" s="17">
        <v>2878.13</v>
      </c>
      <c r="AN127" s="17">
        <v>3228.26</v>
      </c>
      <c r="AO127" s="17">
        <v>3479.6</v>
      </c>
      <c r="AP127" s="17">
        <v>875.4</v>
      </c>
      <c r="AQ127" s="17">
        <v>829.85</v>
      </c>
      <c r="AR127" s="17">
        <v>1049.24</v>
      </c>
      <c r="AX127" s="17">
        <f t="shared" si="6"/>
        <v>2054.7257142857143</v>
      </c>
      <c r="AY127" s="17">
        <f t="shared" si="7"/>
        <v>14383.08</v>
      </c>
    </row>
    <row r="128" spans="1:51" x14ac:dyDescent="0.25">
      <c r="AK128" t="s">
        <v>287</v>
      </c>
      <c r="AL128" s="17">
        <v>301.5</v>
      </c>
      <c r="AM128" s="17">
        <v>4594.46</v>
      </c>
      <c r="AN128" s="17">
        <v>2778.59</v>
      </c>
      <c r="AO128" s="17">
        <v>1905</v>
      </c>
      <c r="AP128" s="17">
        <v>0</v>
      </c>
      <c r="AQ128" s="17">
        <v>786.9</v>
      </c>
      <c r="AR128" s="17">
        <v>0</v>
      </c>
      <c r="AX128" s="17">
        <f t="shared" si="6"/>
        <v>1480.9214285714284</v>
      </c>
      <c r="AY128" s="17">
        <f t="shared" si="7"/>
        <v>10366.449999999999</v>
      </c>
    </row>
    <row r="129" spans="1:51" x14ac:dyDescent="0.25">
      <c r="AK129" t="s">
        <v>288</v>
      </c>
      <c r="AL129" s="17">
        <v>0</v>
      </c>
      <c r="AM129" s="17">
        <v>112.39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X129" s="17">
        <f t="shared" si="6"/>
        <v>16.055714285714284</v>
      </c>
      <c r="AY129" s="17">
        <f t="shared" si="7"/>
        <v>112.39</v>
      </c>
    </row>
    <row r="130" spans="1:51" x14ac:dyDescent="0.25">
      <c r="AK130" t="s">
        <v>289</v>
      </c>
      <c r="AL130" s="17">
        <v>7718.16</v>
      </c>
      <c r="AM130" s="17">
        <v>5788.62</v>
      </c>
      <c r="AN130" s="17">
        <v>5788.62</v>
      </c>
      <c r="AO130" s="17">
        <v>0</v>
      </c>
      <c r="AP130" s="17">
        <v>3039.61</v>
      </c>
      <c r="AQ130" s="17">
        <v>7503.76</v>
      </c>
      <c r="AR130" s="17">
        <v>0</v>
      </c>
      <c r="AX130" s="17">
        <f t="shared" si="6"/>
        <v>4262.6814285714281</v>
      </c>
      <c r="AY130" s="17">
        <f t="shared" si="7"/>
        <v>29838.769999999997</v>
      </c>
    </row>
    <row r="131" spans="1:51" x14ac:dyDescent="0.25">
      <c r="AK131" t="s">
        <v>290</v>
      </c>
      <c r="AL131" s="17">
        <v>1834.54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X131" s="17">
        <f t="shared" si="6"/>
        <v>262.07714285714286</v>
      </c>
      <c r="AY131" s="17">
        <f t="shared" si="7"/>
        <v>1834.54</v>
      </c>
    </row>
    <row r="132" spans="1:51" x14ac:dyDescent="0.25">
      <c r="AL132" s="22">
        <f>SUM(AL123:AL131)</f>
        <v>35790.799999999996</v>
      </c>
      <c r="AM132" s="22">
        <f t="shared" ref="AM132:AP132" si="8">SUM(AM123:AM131)</f>
        <v>45647.08</v>
      </c>
      <c r="AN132" s="22">
        <f t="shared" si="8"/>
        <v>43632.480000000003</v>
      </c>
      <c r="AO132" s="22">
        <f t="shared" si="8"/>
        <v>36848.479999999996</v>
      </c>
      <c r="AP132" s="22">
        <f t="shared" si="8"/>
        <v>29931.010000000002</v>
      </c>
      <c r="AQ132" s="22">
        <f>SUM(AQ123:AQ131)</f>
        <v>38728.94</v>
      </c>
      <c r="AR132" s="22">
        <f>SUM(AR123:AR131)</f>
        <v>5736.1399999999994</v>
      </c>
    </row>
    <row r="134" spans="1:51" x14ac:dyDescent="0.25">
      <c r="AX134" s="22">
        <f>SUM(AX123:AX133)</f>
        <v>33759.275714285715</v>
      </c>
      <c r="AY134" s="22">
        <f>SUM(AY123:AY133)</f>
        <v>236314.93000000002</v>
      </c>
    </row>
    <row r="137" spans="1:51" x14ac:dyDescent="0.25">
      <c r="A137" s="494"/>
      <c r="B137" s="494"/>
      <c r="C137" s="16"/>
    </row>
    <row r="138" spans="1:51" x14ac:dyDescent="0.25">
      <c r="A138" s="494"/>
      <c r="B138" s="494"/>
      <c r="C138" s="16"/>
    </row>
    <row r="139" spans="1:51" x14ac:dyDescent="0.25">
      <c r="A139" s="3" t="s">
        <v>264</v>
      </c>
      <c r="B139" s="3" t="s">
        <v>95</v>
      </c>
      <c r="C139" s="94" t="s">
        <v>97</v>
      </c>
      <c r="D139" s="94" t="s">
        <v>98</v>
      </c>
      <c r="E139" s="94" t="s">
        <v>99</v>
      </c>
      <c r="F139" s="94" t="s">
        <v>100</v>
      </c>
      <c r="G139" s="94" t="s">
        <v>101</v>
      </c>
      <c r="H139" s="94" t="s">
        <v>102</v>
      </c>
      <c r="I139" s="94" t="s">
        <v>103</v>
      </c>
      <c r="J139" s="94" t="s">
        <v>104</v>
      </c>
      <c r="K139" s="94" t="s">
        <v>105</v>
      </c>
      <c r="L139" s="94" t="s">
        <v>106</v>
      </c>
      <c r="M139" s="94" t="s">
        <v>107</v>
      </c>
      <c r="N139" s="94" t="s">
        <v>108</v>
      </c>
      <c r="O139" s="3" t="s">
        <v>141</v>
      </c>
      <c r="S139" s="500" t="s">
        <v>95</v>
      </c>
      <c r="T139" s="543"/>
      <c r="U139" s="94" t="s">
        <v>97</v>
      </c>
      <c r="V139" s="94" t="s">
        <v>98</v>
      </c>
      <c r="W139" s="94" t="s">
        <v>99</v>
      </c>
      <c r="X139" s="94" t="s">
        <v>100</v>
      </c>
      <c r="Y139" s="94" t="s">
        <v>101</v>
      </c>
      <c r="Z139" s="94" t="s">
        <v>102</v>
      </c>
      <c r="AA139" s="94" t="s">
        <v>103</v>
      </c>
      <c r="AB139" s="94" t="s">
        <v>104</v>
      </c>
      <c r="AC139" s="94" t="s">
        <v>105</v>
      </c>
      <c r="AD139" s="94" t="s">
        <v>106</v>
      </c>
      <c r="AE139" s="94" t="s">
        <v>107</v>
      </c>
      <c r="AF139" s="94" t="s">
        <v>108</v>
      </c>
      <c r="AG139" s="3" t="s">
        <v>141</v>
      </c>
    </row>
    <row r="140" spans="1:51" x14ac:dyDescent="0.25">
      <c r="A140" s="551" t="s">
        <v>291</v>
      </c>
      <c r="B140" s="551"/>
      <c r="C140" s="4">
        <f>C116+C111</f>
        <v>3198</v>
      </c>
      <c r="D140" s="4">
        <f>D111+D116</f>
        <v>3175</v>
      </c>
      <c r="E140" s="4">
        <f>E116+E111</f>
        <v>3221</v>
      </c>
      <c r="F140" s="4">
        <f>F116+F111</f>
        <v>3156</v>
      </c>
      <c r="G140" s="4">
        <f>G111+G116</f>
        <v>3143</v>
      </c>
      <c r="H140" s="4">
        <f>H111+H116</f>
        <v>3084</v>
      </c>
      <c r="I140" s="3">
        <f>2740+404</f>
        <v>3144</v>
      </c>
      <c r="J140" s="4">
        <f>J111+J116</f>
        <v>3025</v>
      </c>
      <c r="K140" s="3"/>
      <c r="L140" s="3"/>
      <c r="M140" s="3"/>
      <c r="N140" s="3"/>
      <c r="O140" s="3"/>
      <c r="S140" s="493" t="s">
        <v>292</v>
      </c>
      <c r="T140" s="493"/>
      <c r="U140" s="41">
        <f>AL123+AL125+AL127+AL128+AL129+AL130+AL131</f>
        <v>15541.8</v>
      </c>
      <c r="V140" s="41">
        <f>AM123+AM125+AM127+AM128+AM129+AM130+AM131</f>
        <v>21160.6</v>
      </c>
      <c r="W140" s="41">
        <v>20969.47</v>
      </c>
      <c r="X140" s="41">
        <v>17163</v>
      </c>
      <c r="Y140" s="41">
        <f>2356+1210</f>
        <v>3566</v>
      </c>
      <c r="Z140" s="41">
        <f>AQ123+AQ125+AQ127+AQ128+AQ130</f>
        <v>23008.010000000002</v>
      </c>
      <c r="AA140" s="41">
        <f>AR123+AR125+AR127</f>
        <v>3667.24</v>
      </c>
      <c r="AB140" s="41"/>
      <c r="AC140" s="41"/>
      <c r="AD140" s="41"/>
      <c r="AE140" s="41"/>
      <c r="AF140" s="41"/>
      <c r="AG140" s="41"/>
    </row>
    <row r="141" spans="1:51" x14ac:dyDescent="0.25">
      <c r="A141" s="493" t="s">
        <v>293</v>
      </c>
      <c r="B141" s="493"/>
      <c r="C141" s="41">
        <f>S116+S111</f>
        <v>484023.49</v>
      </c>
      <c r="D141" s="41">
        <f>T116+T111</f>
        <v>460567.66</v>
      </c>
      <c r="E141" s="41">
        <f>U116+U111</f>
        <v>447373.97</v>
      </c>
      <c r="F141" s="41">
        <f>V116+V111</f>
        <v>439251.14</v>
      </c>
      <c r="G141" s="41">
        <f>W111+W116</f>
        <v>434913.91000000003</v>
      </c>
      <c r="H141" s="41">
        <f>X111+X116</f>
        <v>434455.08999999997</v>
      </c>
      <c r="I141" s="41">
        <f>386865.98+51512.05</f>
        <v>438378.02999999997</v>
      </c>
      <c r="J141" s="41">
        <f>Z111+Z116</f>
        <v>423200.95</v>
      </c>
      <c r="K141" s="3"/>
      <c r="L141" s="3"/>
      <c r="M141" s="3"/>
      <c r="N141" s="3"/>
      <c r="O141" s="3"/>
      <c r="S141" s="493" t="s">
        <v>294</v>
      </c>
      <c r="T141" s="493"/>
      <c r="U141" s="41">
        <f>AL124+AL126</f>
        <v>20249</v>
      </c>
      <c r="V141" s="41">
        <f>AM124+AM126</f>
        <v>24486.48</v>
      </c>
      <c r="W141" s="41">
        <v>22663.01</v>
      </c>
      <c r="X141" s="41">
        <v>19684.88</v>
      </c>
      <c r="Y141" s="41">
        <f>10580+11870+875.4+3039.61</f>
        <v>26365.010000000002</v>
      </c>
      <c r="Z141" s="41">
        <f>AQ124+AQ126</f>
        <v>15720.93</v>
      </c>
      <c r="AA141" s="41">
        <f>AR124+AR126</f>
        <v>2068.9</v>
      </c>
      <c r="AB141" s="41"/>
      <c r="AC141" s="41"/>
      <c r="AD141" s="41"/>
      <c r="AE141" s="41"/>
      <c r="AF141" s="41"/>
      <c r="AG141" s="41"/>
    </row>
    <row r="142" spans="1:51" x14ac:dyDescent="0.25">
      <c r="A142" s="493" t="s">
        <v>295</v>
      </c>
      <c r="B142" s="493"/>
      <c r="C142" s="4">
        <f>GESTÃO!D92</f>
        <v>72892</v>
      </c>
      <c r="D142" s="4">
        <f>GESTÃO!E92</f>
        <v>61572</v>
      </c>
      <c r="E142" s="4">
        <v>64532</v>
      </c>
      <c r="F142" s="4">
        <v>69278</v>
      </c>
      <c r="G142" s="4">
        <v>57090</v>
      </c>
      <c r="H142" s="4">
        <v>37376</v>
      </c>
      <c r="I142" s="4">
        <v>3069</v>
      </c>
      <c r="J142" s="4">
        <v>23085</v>
      </c>
      <c r="K142" s="3"/>
      <c r="L142" s="3"/>
      <c r="M142" s="3"/>
      <c r="N142" s="3"/>
      <c r="O142" s="3"/>
      <c r="S142" s="493" t="s">
        <v>296</v>
      </c>
      <c r="T142" s="493"/>
      <c r="U142" s="4">
        <f>C142</f>
        <v>72892</v>
      </c>
      <c r="V142" s="4">
        <f>D142</f>
        <v>61572</v>
      </c>
      <c r="W142" s="4">
        <f>E142</f>
        <v>64532</v>
      </c>
      <c r="X142" s="4">
        <v>69278</v>
      </c>
      <c r="Y142" s="4">
        <f>G142</f>
        <v>57090</v>
      </c>
      <c r="Z142" s="41">
        <v>37376</v>
      </c>
      <c r="AA142" s="4">
        <f>I142</f>
        <v>3069</v>
      </c>
      <c r="AB142" s="4">
        <f>J142</f>
        <v>23085</v>
      </c>
      <c r="AC142" s="3"/>
      <c r="AD142" s="3"/>
      <c r="AE142" s="3"/>
      <c r="AF142" s="3"/>
      <c r="AG142" s="3"/>
    </row>
    <row r="143" spans="1:51" x14ac:dyDescent="0.25">
      <c r="A143" s="13"/>
      <c r="B143" s="13"/>
      <c r="C143" s="22"/>
      <c r="D143" s="22"/>
      <c r="S143" s="493" t="s">
        <v>297</v>
      </c>
      <c r="T143" s="493"/>
      <c r="U143" s="41">
        <f>SUM(U140:U141)</f>
        <v>35790.800000000003</v>
      </c>
      <c r="V143" s="41">
        <f>SUM(V140:V141)</f>
        <v>45647.08</v>
      </c>
      <c r="W143" s="41">
        <f>SUM(W140:W141)</f>
        <v>43632.479999999996</v>
      </c>
      <c r="X143" s="41">
        <f>SUM(X140:X141)</f>
        <v>36847.880000000005</v>
      </c>
      <c r="Y143" s="41">
        <f>Y140+Y141</f>
        <v>29931.010000000002</v>
      </c>
      <c r="Z143" s="41">
        <f t="shared" ref="Z143:AA143" si="9">Z140+Z141</f>
        <v>38728.94</v>
      </c>
      <c r="AA143" s="41">
        <f t="shared" si="9"/>
        <v>5736.1399999999994</v>
      </c>
      <c r="AB143" s="3"/>
      <c r="AC143" s="3"/>
      <c r="AD143" s="3"/>
      <c r="AE143" s="3"/>
      <c r="AF143" s="3"/>
      <c r="AG143" s="3"/>
    </row>
    <row r="144" spans="1:51" x14ac:dyDescent="0.25">
      <c r="A144" s="13"/>
      <c r="B144" s="13"/>
      <c r="C144" s="22"/>
      <c r="D144" s="22"/>
    </row>
    <row r="145" spans="1:26" x14ac:dyDescent="0.25">
      <c r="A145" s="13"/>
      <c r="B145" s="13"/>
      <c r="C145" s="22"/>
      <c r="D145" s="22"/>
      <c r="Z145" s="22"/>
    </row>
    <row r="164" spans="1:33" x14ac:dyDescent="0.25">
      <c r="A164" s="3" t="s">
        <v>264</v>
      </c>
      <c r="B164" s="3" t="s">
        <v>95</v>
      </c>
      <c r="C164" s="94" t="s">
        <v>97</v>
      </c>
      <c r="D164" s="94" t="s">
        <v>98</v>
      </c>
      <c r="E164" s="94" t="s">
        <v>99</v>
      </c>
      <c r="F164" s="94" t="s">
        <v>100</v>
      </c>
      <c r="G164" s="94" t="s">
        <v>101</v>
      </c>
      <c r="H164" s="94" t="s">
        <v>102</v>
      </c>
      <c r="I164" s="94" t="s">
        <v>103</v>
      </c>
      <c r="J164" s="94" t="s">
        <v>104</v>
      </c>
      <c r="K164" s="94" t="s">
        <v>105</v>
      </c>
      <c r="L164" s="94" t="s">
        <v>106</v>
      </c>
      <c r="M164" s="94" t="s">
        <v>107</v>
      </c>
      <c r="N164" s="94" t="s">
        <v>108</v>
      </c>
      <c r="O164" s="3" t="s">
        <v>141</v>
      </c>
      <c r="S164" s="3" t="s">
        <v>264</v>
      </c>
      <c r="T164" s="3" t="s">
        <v>95</v>
      </c>
      <c r="U164" s="94" t="s">
        <v>97</v>
      </c>
      <c r="V164" s="94" t="s">
        <v>98</v>
      </c>
      <c r="W164" s="94" t="s">
        <v>99</v>
      </c>
      <c r="X164" s="94" t="s">
        <v>100</v>
      </c>
      <c r="Y164" s="94" t="s">
        <v>101</v>
      </c>
      <c r="Z164" s="94" t="s">
        <v>102</v>
      </c>
      <c r="AA164" s="94" t="s">
        <v>103</v>
      </c>
      <c r="AB164" s="94" t="s">
        <v>104</v>
      </c>
      <c r="AC164" s="94" t="s">
        <v>105</v>
      </c>
      <c r="AD164" s="94" t="s">
        <v>106</v>
      </c>
      <c r="AE164" s="94" t="s">
        <v>107</v>
      </c>
      <c r="AF164" s="94" t="s">
        <v>108</v>
      </c>
      <c r="AG164" s="3" t="s">
        <v>141</v>
      </c>
    </row>
    <row r="165" spans="1:33" x14ac:dyDescent="0.25">
      <c r="A165" s="551" t="s">
        <v>298</v>
      </c>
      <c r="B165" s="551"/>
      <c r="C165" s="4">
        <v>35900</v>
      </c>
      <c r="D165" s="4">
        <v>23904</v>
      </c>
      <c r="E165" s="4">
        <v>36170</v>
      </c>
      <c r="F165" s="4">
        <v>26333</v>
      </c>
      <c r="G165" s="4">
        <v>21989</v>
      </c>
      <c r="H165" s="4">
        <v>5760</v>
      </c>
      <c r="I165" s="4">
        <v>7803</v>
      </c>
      <c r="J165" s="4"/>
      <c r="K165" s="4"/>
      <c r="L165" s="4"/>
      <c r="M165" s="4"/>
      <c r="N165" s="4"/>
      <c r="O165" s="3"/>
      <c r="S165" s="552" t="s">
        <v>298</v>
      </c>
      <c r="T165" s="552"/>
      <c r="U165" s="141">
        <v>397485.54</v>
      </c>
      <c r="V165" s="141">
        <v>341741.52</v>
      </c>
      <c r="W165" s="141">
        <v>464315.93</v>
      </c>
      <c r="X165" s="141">
        <v>332423.07</v>
      </c>
      <c r="Y165" s="141">
        <v>317478.15999999997</v>
      </c>
      <c r="Z165" s="141">
        <v>75968.289999999994</v>
      </c>
      <c r="AA165" s="141">
        <v>110965.56</v>
      </c>
      <c r="AB165" s="353"/>
      <c r="AC165" s="353"/>
      <c r="AD165" s="353"/>
      <c r="AE165" s="353"/>
      <c r="AF165" s="353"/>
      <c r="AG165" s="3"/>
    </row>
    <row r="166" spans="1:33" x14ac:dyDescent="0.25">
      <c r="A166" s="551" t="s">
        <v>299</v>
      </c>
      <c r="B166" s="551"/>
      <c r="C166" s="4">
        <v>387239</v>
      </c>
      <c r="D166" s="4">
        <v>457320</v>
      </c>
      <c r="E166" s="4">
        <f>E105-E165</f>
        <v>353152</v>
      </c>
      <c r="F166" s="4">
        <f>F105-F165</f>
        <v>334081</v>
      </c>
      <c r="G166" s="4">
        <f>G105-G165</f>
        <v>404691</v>
      </c>
      <c r="H166" s="4">
        <v>522798</v>
      </c>
      <c r="I166" s="4">
        <f>J105-I165</f>
        <v>718006</v>
      </c>
      <c r="J166" s="4"/>
      <c r="K166" s="4"/>
      <c r="L166" s="4"/>
      <c r="M166" s="4"/>
      <c r="N166" s="4"/>
      <c r="O166" s="3"/>
      <c r="S166" s="552" t="s">
        <v>299</v>
      </c>
      <c r="T166" s="552"/>
      <c r="U166" s="141">
        <v>355974.64</v>
      </c>
      <c r="V166" s="141">
        <v>481223.63</v>
      </c>
      <c r="W166" s="141">
        <f>U105-W165</f>
        <v>329948.13999999996</v>
      </c>
      <c r="X166" s="141">
        <f>V105-X165</f>
        <v>315772.44</v>
      </c>
      <c r="Y166" s="141">
        <f>W105-Y165</f>
        <v>307958.88000000006</v>
      </c>
      <c r="Z166" s="141">
        <f>X105-Z165</f>
        <v>390658.93</v>
      </c>
      <c r="AA166" s="141">
        <f>Z105-AA165</f>
        <v>543377.8600000001</v>
      </c>
      <c r="AB166" s="353"/>
      <c r="AC166" s="353"/>
      <c r="AD166" s="353"/>
      <c r="AE166" s="353"/>
      <c r="AF166" s="353"/>
      <c r="AG166" s="3"/>
    </row>
    <row r="167" spans="1:33" x14ac:dyDescent="0.25">
      <c r="A167" s="551" t="s">
        <v>300</v>
      </c>
      <c r="B167" s="551"/>
      <c r="C167" s="5">
        <f>C165/C166*100</f>
        <v>9.2707604347702581</v>
      </c>
      <c r="D167" s="5">
        <f t="shared" ref="D167:I167" si="10">D165/D166*100</f>
        <v>5.2269745473628966</v>
      </c>
      <c r="E167" s="5">
        <f t="shared" si="10"/>
        <v>10.242048749546937</v>
      </c>
      <c r="F167" s="5">
        <f t="shared" si="10"/>
        <v>7.8822201801359553</v>
      </c>
      <c r="G167" s="5">
        <f t="shared" si="10"/>
        <v>5.4335282968981264</v>
      </c>
      <c r="H167" s="5">
        <f t="shared" si="10"/>
        <v>1.1017639700228388</v>
      </c>
      <c r="I167" s="5">
        <f t="shared" si="10"/>
        <v>1.0867597206708579</v>
      </c>
      <c r="J167" s="3"/>
      <c r="K167" s="3"/>
      <c r="L167" s="3"/>
      <c r="M167" s="3"/>
      <c r="N167" s="3"/>
      <c r="O167" s="3"/>
      <c r="S167" s="551" t="s">
        <v>278</v>
      </c>
      <c r="T167" s="551"/>
      <c r="U167" s="41">
        <f>SUM(U165:U166)</f>
        <v>753460.17999999993</v>
      </c>
      <c r="V167" s="41">
        <f t="shared" ref="V167:AA167" si="11">SUM(V165:V166)</f>
        <v>822965.15</v>
      </c>
      <c r="W167" s="41">
        <f t="shared" si="11"/>
        <v>794264.07</v>
      </c>
      <c r="X167" s="41">
        <f t="shared" si="11"/>
        <v>648195.51</v>
      </c>
      <c r="Y167" s="41">
        <f t="shared" si="11"/>
        <v>625437.04</v>
      </c>
      <c r="Z167" s="41">
        <f t="shared" si="11"/>
        <v>466627.22</v>
      </c>
      <c r="AA167" s="41">
        <f t="shared" si="11"/>
        <v>654343.42000000016</v>
      </c>
      <c r="AB167" s="3"/>
      <c r="AC167" s="3"/>
      <c r="AD167" s="3"/>
      <c r="AE167" s="3"/>
      <c r="AF167" s="3"/>
      <c r="AG167" s="3"/>
    </row>
    <row r="168" spans="1:33" x14ac:dyDescent="0.25">
      <c r="S168" s="552" t="s">
        <v>300</v>
      </c>
      <c r="T168" s="552"/>
      <c r="U168" s="143">
        <f>U165/U167*100</f>
        <v>52.754684394867425</v>
      </c>
      <c r="V168" s="143">
        <f t="shared" ref="V168:AA168" si="12">V165/V167*100</f>
        <v>41.525636899691321</v>
      </c>
      <c r="W168" s="143">
        <f t="shared" si="12"/>
        <v>58.458634544553931</v>
      </c>
      <c r="X168" s="143">
        <f t="shared" si="12"/>
        <v>51.284383318236806</v>
      </c>
      <c r="Y168" s="143">
        <f t="shared" si="12"/>
        <v>50.761010252926489</v>
      </c>
      <c r="Z168" s="143">
        <f t="shared" si="12"/>
        <v>16.28029543582991</v>
      </c>
      <c r="AA168" s="143">
        <f t="shared" si="12"/>
        <v>16.958306083371326</v>
      </c>
      <c r="AB168" s="353"/>
      <c r="AC168" s="353"/>
      <c r="AD168" s="353"/>
      <c r="AE168" s="353"/>
      <c r="AF168" s="353"/>
      <c r="AG168" s="3"/>
    </row>
  </sheetData>
  <mergeCells count="53">
    <mergeCell ref="A167:B167"/>
    <mergeCell ref="S167:T167"/>
    <mergeCell ref="S168:T168"/>
    <mergeCell ref="AK121:AY121"/>
    <mergeCell ref="A81:B81"/>
    <mergeCell ref="A113:B113"/>
    <mergeCell ref="A114:B114"/>
    <mergeCell ref="A115:B115"/>
    <mergeCell ref="A105:B105"/>
    <mergeCell ref="A106:B106"/>
    <mergeCell ref="A107:B107"/>
    <mergeCell ref="A116:B116"/>
    <mergeCell ref="A117:B117"/>
    <mergeCell ref="Q105:R105"/>
    <mergeCell ref="Q106:R106"/>
    <mergeCell ref="Q107:R107"/>
    <mergeCell ref="A80:B80"/>
    <mergeCell ref="A52:B52"/>
    <mergeCell ref="A22:B22"/>
    <mergeCell ref="A24:B24"/>
    <mergeCell ref="A25:B25"/>
    <mergeCell ref="A26:B26"/>
    <mergeCell ref="A27:B27"/>
    <mergeCell ref="A54:B54"/>
    <mergeCell ref="A55:B55"/>
    <mergeCell ref="A56:B56"/>
    <mergeCell ref="A57:B57"/>
    <mergeCell ref="A78:B78"/>
    <mergeCell ref="Q116:R116"/>
    <mergeCell ref="Q117:R117"/>
    <mergeCell ref="A111:B111"/>
    <mergeCell ref="A112:B112"/>
    <mergeCell ref="A165:B165"/>
    <mergeCell ref="Q111:R111"/>
    <mergeCell ref="Q112:R112"/>
    <mergeCell ref="Q113:R113"/>
    <mergeCell ref="Q114:R114"/>
    <mergeCell ref="Q115:R115"/>
    <mergeCell ref="A166:B166"/>
    <mergeCell ref="S165:T165"/>
    <mergeCell ref="S166:T166"/>
    <mergeCell ref="Q118:R118"/>
    <mergeCell ref="A118:B118"/>
    <mergeCell ref="A137:B137"/>
    <mergeCell ref="A138:B138"/>
    <mergeCell ref="A140:B140"/>
    <mergeCell ref="A141:B141"/>
    <mergeCell ref="S140:T140"/>
    <mergeCell ref="S141:T141"/>
    <mergeCell ref="S139:T139"/>
    <mergeCell ref="S142:T142"/>
    <mergeCell ref="A142:B142"/>
    <mergeCell ref="S143:T143"/>
  </mergeCells>
  <phoneticPr fontId="3" type="noConversion"/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19" orientation="landscape" horizontalDpi="0" verticalDpi="0" r:id="rId1"/>
  <headerFooter>
    <oddFooter>&amp;LConsiderações - estoque do último dia de cada mês.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BE93-3FB9-4C87-910B-7128E8A7B202}">
  <sheetPr>
    <pageSetUpPr fitToPage="1"/>
  </sheetPr>
  <dimension ref="A22:BA126"/>
  <sheetViews>
    <sheetView showGridLines="0" zoomScale="89" zoomScaleNormal="89" workbookViewId="0">
      <selection activeCell="H60" sqref="H60"/>
    </sheetView>
  </sheetViews>
  <sheetFormatPr defaultRowHeight="15" x14ac:dyDescent="0.25"/>
  <cols>
    <col min="1" max="1" width="11.28515625" bestFit="1" customWidth="1"/>
    <col min="2" max="3" width="11.28515625" customWidth="1"/>
    <col min="4" max="15" width="10.140625" bestFit="1" customWidth="1"/>
    <col min="16" max="16" width="9.28515625" bestFit="1" customWidth="1"/>
    <col min="17" max="17" width="8.5703125" bestFit="1" customWidth="1"/>
    <col min="24" max="24" width="8" bestFit="1" customWidth="1"/>
    <col min="35" max="35" width="8.5703125" bestFit="1" customWidth="1"/>
  </cols>
  <sheetData>
    <row r="22" spans="1:17" x14ac:dyDescent="0.25">
      <c r="A22" s="493" t="s">
        <v>95</v>
      </c>
      <c r="B22" s="493"/>
      <c r="C22" s="2"/>
      <c r="D22" s="3" t="s">
        <v>97</v>
      </c>
      <c r="E22" s="3" t="s">
        <v>98</v>
      </c>
      <c r="F22" s="3" t="s">
        <v>99</v>
      </c>
      <c r="G22" s="3" t="s">
        <v>100</v>
      </c>
      <c r="H22" s="3" t="s">
        <v>101</v>
      </c>
      <c r="I22" s="3" t="s">
        <v>102</v>
      </c>
      <c r="J22" s="3" t="s">
        <v>103</v>
      </c>
      <c r="K22" s="3" t="s">
        <v>104</v>
      </c>
      <c r="L22" s="3" t="s">
        <v>105</v>
      </c>
      <c r="M22" s="3" t="s">
        <v>106</v>
      </c>
      <c r="N22" s="3" t="s">
        <v>107</v>
      </c>
      <c r="O22" s="3" t="s">
        <v>108</v>
      </c>
      <c r="P22" s="3" t="s">
        <v>200</v>
      </c>
      <c r="Q22" s="3" t="s">
        <v>110</v>
      </c>
    </row>
    <row r="23" spans="1:17" x14ac:dyDescent="0.25">
      <c r="A23" s="2" t="s">
        <v>178</v>
      </c>
      <c r="B23" s="14">
        <f>[2]Resultados!$C$52</f>
        <v>126415</v>
      </c>
      <c r="C23" s="23"/>
      <c r="D23" s="24">
        <v>126415</v>
      </c>
      <c r="E23" s="24">
        <v>126415</v>
      </c>
      <c r="F23" s="24">
        <v>126415</v>
      </c>
      <c r="G23" s="24">
        <v>126415</v>
      </c>
      <c r="H23" s="24">
        <v>126415</v>
      </c>
      <c r="I23" s="24">
        <v>126415</v>
      </c>
      <c r="J23" s="24">
        <v>126415</v>
      </c>
      <c r="K23" s="24">
        <v>126415</v>
      </c>
      <c r="L23" s="24">
        <v>126415</v>
      </c>
      <c r="M23" s="24">
        <v>126415</v>
      </c>
      <c r="N23" s="24">
        <v>126415</v>
      </c>
      <c r="O23" s="24">
        <v>126415</v>
      </c>
      <c r="P23" s="25"/>
      <c r="Q23" s="18"/>
    </row>
    <row r="24" spans="1:17" x14ac:dyDescent="0.25">
      <c r="A24" s="493" t="s">
        <v>301</v>
      </c>
      <c r="B24" s="493"/>
      <c r="C24" s="136"/>
      <c r="D24" s="134">
        <v>0</v>
      </c>
      <c r="E24" s="134">
        <v>0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4">
        <v>0</v>
      </c>
      <c r="L24" s="134">
        <v>0</v>
      </c>
      <c r="M24" s="134">
        <v>0</v>
      </c>
      <c r="N24" s="134">
        <v>0</v>
      </c>
      <c r="O24" s="134">
        <v>0</v>
      </c>
      <c r="P24" s="134">
        <v>0</v>
      </c>
      <c r="Q24" s="18"/>
    </row>
    <row r="25" spans="1:17" x14ac:dyDescent="0.25">
      <c r="A25" s="493" t="s">
        <v>302</v>
      </c>
      <c r="B25" s="493"/>
      <c r="C25" s="2"/>
      <c r="D25" s="137">
        <v>0</v>
      </c>
      <c r="E25" s="137">
        <v>0</v>
      </c>
      <c r="F25" s="137">
        <v>0</v>
      </c>
      <c r="G25" s="137">
        <v>0</v>
      </c>
      <c r="H25" s="137">
        <v>0</v>
      </c>
      <c r="I25" s="137">
        <v>0</v>
      </c>
      <c r="J25" s="137">
        <v>0</v>
      </c>
      <c r="K25" s="137">
        <v>0</v>
      </c>
      <c r="L25" s="137">
        <v>0</v>
      </c>
      <c r="M25" s="137">
        <v>0</v>
      </c>
      <c r="N25" s="137">
        <v>0</v>
      </c>
      <c r="O25" s="137">
        <v>0</v>
      </c>
      <c r="P25" s="4">
        <f>SUM(D25:O25)</f>
        <v>0</v>
      </c>
      <c r="Q25" s="5">
        <f>(P25/B23)*100</f>
        <v>0</v>
      </c>
    </row>
    <row r="26" spans="1:17" x14ac:dyDescent="0.25">
      <c r="A26" s="493" t="s">
        <v>203</v>
      </c>
      <c r="B26" s="493"/>
      <c r="C26" s="2"/>
      <c r="D26" s="137">
        <f>D25</f>
        <v>0</v>
      </c>
      <c r="E26" s="137">
        <f>D26+E25</f>
        <v>0</v>
      </c>
      <c r="F26" s="137">
        <f t="shared" ref="F26:G26" si="0">E26+F25</f>
        <v>0</v>
      </c>
      <c r="G26" s="137">
        <f t="shared" si="0"/>
        <v>0</v>
      </c>
      <c r="H26" s="137">
        <f t="shared" ref="H26" si="1">G26+H25</f>
        <v>0</v>
      </c>
      <c r="I26" s="137">
        <f t="shared" ref="I26" si="2">H26+I25</f>
        <v>0</v>
      </c>
      <c r="J26" s="137">
        <f t="shared" ref="J26" si="3">I26+J25</f>
        <v>0</v>
      </c>
      <c r="K26" s="137">
        <f t="shared" ref="K26" si="4">J26+K25</f>
        <v>0</v>
      </c>
      <c r="L26" s="137">
        <f t="shared" ref="L26" si="5">K26+L25</f>
        <v>0</v>
      </c>
      <c r="M26" s="137">
        <f t="shared" ref="M26" si="6">L26+M25</f>
        <v>0</v>
      </c>
      <c r="N26" s="137">
        <f t="shared" ref="N26" si="7">M26+N25</f>
        <v>0</v>
      </c>
      <c r="O26" s="137">
        <f t="shared" ref="O26" si="8">N26+O25</f>
        <v>0</v>
      </c>
      <c r="P26" s="4"/>
      <c r="Q26" s="5"/>
    </row>
    <row r="27" spans="1:17" x14ac:dyDescent="0.25">
      <c r="A27" s="511" t="s">
        <v>204</v>
      </c>
      <c r="B27" s="511"/>
      <c r="C27" s="13"/>
      <c r="D27" s="22">
        <f>(D26/D23)*100</f>
        <v>0</v>
      </c>
      <c r="E27" s="22">
        <f t="shared" ref="E27:G27" si="9">(E26/E23)*100</f>
        <v>0</v>
      </c>
      <c r="F27" s="22">
        <f t="shared" si="9"/>
        <v>0</v>
      </c>
      <c r="G27" s="22">
        <f t="shared" si="9"/>
        <v>0</v>
      </c>
      <c r="H27" s="16"/>
      <c r="I27" s="16"/>
      <c r="J27" s="16"/>
      <c r="K27" s="16"/>
      <c r="L27" s="16"/>
      <c r="M27" s="16"/>
      <c r="N27" s="16"/>
      <c r="O27" s="16"/>
      <c r="P27" s="16"/>
      <c r="Q27" s="17"/>
    </row>
    <row r="28" spans="1:17" x14ac:dyDescent="0.25">
      <c r="A28" s="494" t="s">
        <v>127</v>
      </c>
      <c r="B28" s="494"/>
      <c r="C28" s="1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7" x14ac:dyDescent="0.25"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7" x14ac:dyDescent="0.25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7" x14ac:dyDescent="0.25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7" x14ac:dyDescent="0.25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4:15" x14ac:dyDescent="0.25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56" spans="1:53" x14ac:dyDescent="0.25">
      <c r="A56" s="493" t="s">
        <v>95</v>
      </c>
      <c r="B56" s="493"/>
      <c r="C56" s="2"/>
      <c r="D56" s="3" t="s">
        <v>97</v>
      </c>
      <c r="E56" s="3" t="s">
        <v>98</v>
      </c>
      <c r="F56" s="3" t="s">
        <v>99</v>
      </c>
      <c r="G56" s="3" t="s">
        <v>100</v>
      </c>
      <c r="H56" s="3" t="s">
        <v>101</v>
      </c>
      <c r="I56" s="3" t="s">
        <v>102</v>
      </c>
      <c r="J56" s="3" t="s">
        <v>103</v>
      </c>
      <c r="K56" s="3" t="s">
        <v>104</v>
      </c>
      <c r="L56" s="3" t="s">
        <v>105</v>
      </c>
      <c r="M56" s="3" t="s">
        <v>106</v>
      </c>
      <c r="N56" s="3" t="s">
        <v>107</v>
      </c>
      <c r="O56" s="3" t="s">
        <v>108</v>
      </c>
      <c r="P56" s="3" t="s">
        <v>303</v>
      </c>
      <c r="Q56" s="3" t="s">
        <v>304</v>
      </c>
      <c r="T56" s="493" t="s">
        <v>95</v>
      </c>
      <c r="U56" s="493"/>
      <c r="V56" s="3" t="s">
        <v>97</v>
      </c>
      <c r="W56" s="3" t="s">
        <v>98</v>
      </c>
      <c r="X56" s="3" t="s">
        <v>99</v>
      </c>
      <c r="Y56" s="3" t="s">
        <v>100</v>
      </c>
      <c r="Z56" s="3" t="s">
        <v>101</v>
      </c>
      <c r="AA56" s="3" t="s">
        <v>102</v>
      </c>
      <c r="AB56" s="3" t="s">
        <v>103</v>
      </c>
      <c r="AC56" s="3" t="s">
        <v>104</v>
      </c>
      <c r="AD56" s="3" t="s">
        <v>105</v>
      </c>
      <c r="AE56" s="3" t="s">
        <v>106</v>
      </c>
      <c r="AF56" s="3" t="s">
        <v>107</v>
      </c>
      <c r="AG56" s="3" t="s">
        <v>108</v>
      </c>
      <c r="AH56" s="3" t="s">
        <v>200</v>
      </c>
      <c r="AI56" s="3" t="s">
        <v>110</v>
      </c>
      <c r="AL56" s="493" t="s">
        <v>95</v>
      </c>
      <c r="AM56" s="493"/>
      <c r="AN56" s="3" t="s">
        <v>97</v>
      </c>
      <c r="AO56" s="3" t="s">
        <v>98</v>
      </c>
      <c r="AP56" s="3" t="s">
        <v>99</v>
      </c>
      <c r="AQ56" s="3" t="s">
        <v>100</v>
      </c>
      <c r="AR56" s="3" t="s">
        <v>101</v>
      </c>
      <c r="AS56" s="3" t="s">
        <v>102</v>
      </c>
      <c r="AT56" s="3" t="s">
        <v>103</v>
      </c>
      <c r="AU56" s="3" t="s">
        <v>104</v>
      </c>
      <c r="AV56" s="3" t="s">
        <v>105</v>
      </c>
      <c r="AW56" s="3" t="s">
        <v>106</v>
      </c>
      <c r="AX56" s="3" t="s">
        <v>107</v>
      </c>
      <c r="AY56" s="3" t="s">
        <v>108</v>
      </c>
      <c r="AZ56" s="3" t="s">
        <v>200</v>
      </c>
      <c r="BA56" s="3" t="s">
        <v>110</v>
      </c>
    </row>
    <row r="57" spans="1:53" x14ac:dyDescent="0.25">
      <c r="A57" s="30" t="s">
        <v>178</v>
      </c>
      <c r="B57" s="103">
        <v>1.4999999999999999E-2</v>
      </c>
      <c r="C57" s="31"/>
      <c r="D57" s="29">
        <v>1.4999999999999999E-2</v>
      </c>
      <c r="E57" s="29">
        <v>1.4999999999999999E-2</v>
      </c>
      <c r="F57" s="29">
        <v>1.4999999999999999E-2</v>
      </c>
      <c r="G57" s="29">
        <v>1.4999999999999999E-2</v>
      </c>
      <c r="H57" s="29">
        <v>1.4999999999999999E-2</v>
      </c>
      <c r="I57" s="29">
        <v>1.4999999999999999E-2</v>
      </c>
      <c r="J57" s="29">
        <v>1.4999999999999999E-2</v>
      </c>
      <c r="K57" s="29">
        <v>1.4999999999999999E-2</v>
      </c>
      <c r="L57" s="29">
        <v>1.4999999999999999E-2</v>
      </c>
      <c r="M57" s="29">
        <v>1.4999999999999999E-2</v>
      </c>
      <c r="N57" s="29">
        <v>1.4999999999999999E-2</v>
      </c>
      <c r="O57" s="29">
        <v>1.4999999999999999E-2</v>
      </c>
      <c r="P57" s="25"/>
      <c r="Q57" s="18"/>
      <c r="T57" s="30" t="s">
        <v>178</v>
      </c>
      <c r="U57" s="103">
        <v>1.4999999999999999E-2</v>
      </c>
      <c r="V57" s="29">
        <v>1.4999999999999999E-2</v>
      </c>
      <c r="W57" s="29">
        <v>1.4999999999999999E-2</v>
      </c>
      <c r="X57" s="29">
        <v>1.4999999999999999E-2</v>
      </c>
      <c r="Y57" s="29">
        <v>1.4999999999999999E-2</v>
      </c>
      <c r="Z57" s="29">
        <v>1.4999999999999999E-2</v>
      </c>
      <c r="AA57" s="29">
        <v>1.4999999999999999E-2</v>
      </c>
      <c r="AB57" s="29">
        <v>1.4999999999999999E-2</v>
      </c>
      <c r="AC57" s="29">
        <v>1.4999999999999999E-2</v>
      </c>
      <c r="AD57" s="29">
        <v>1.4999999999999999E-2</v>
      </c>
      <c r="AE57" s="29">
        <v>1.4999999999999999E-2</v>
      </c>
      <c r="AF57" s="29">
        <v>1.4999999999999999E-2</v>
      </c>
      <c r="AG57" s="29">
        <v>1.4999999999999999E-2</v>
      </c>
      <c r="AH57" s="25"/>
      <c r="AI57" s="18"/>
      <c r="AL57" s="30" t="s">
        <v>178</v>
      </c>
      <c r="AM57" s="103">
        <v>1.4999999999999999E-2</v>
      </c>
      <c r="AN57" s="29">
        <v>1.4999999999999999E-2</v>
      </c>
      <c r="AO57" s="29">
        <v>1.4999999999999999E-2</v>
      </c>
      <c r="AP57" s="29">
        <v>1.4999999999999999E-2</v>
      </c>
      <c r="AQ57" s="29">
        <v>1.4999999999999999E-2</v>
      </c>
      <c r="AR57" s="29">
        <v>1.4999999999999999E-2</v>
      </c>
      <c r="AS57" s="29">
        <v>1.4999999999999999E-2</v>
      </c>
      <c r="AT57" s="29">
        <v>1.4999999999999999E-2</v>
      </c>
      <c r="AU57" s="29">
        <v>1.4999999999999999E-2</v>
      </c>
      <c r="AV57" s="29">
        <v>1.4999999999999999E-2</v>
      </c>
      <c r="AW57" s="29">
        <v>1.4999999999999999E-2</v>
      </c>
      <c r="AX57" s="29">
        <v>1.4999999999999999E-2</v>
      </c>
      <c r="AY57" s="29">
        <v>1.4999999999999999E-2</v>
      </c>
      <c r="AZ57" s="25"/>
      <c r="BA57" s="18"/>
    </row>
    <row r="58" spans="1:53" x14ac:dyDescent="0.25">
      <c r="A58" s="493" t="s">
        <v>305</v>
      </c>
      <c r="B58" s="493"/>
      <c r="C58" s="2"/>
      <c r="D58" s="4">
        <v>13</v>
      </c>
      <c r="E58" s="4">
        <v>28</v>
      </c>
      <c r="F58" s="4">
        <v>14</v>
      </c>
      <c r="G58" s="147">
        <v>18</v>
      </c>
      <c r="H58" s="4">
        <v>19</v>
      </c>
      <c r="I58" s="4">
        <v>4</v>
      </c>
      <c r="J58" s="4">
        <v>21</v>
      </c>
      <c r="K58" s="4"/>
      <c r="L58" s="4"/>
      <c r="M58" s="4"/>
      <c r="N58" s="4"/>
      <c r="O58" s="4"/>
      <c r="P58" s="4">
        <f>SUM(D58:O58)</f>
        <v>117</v>
      </c>
      <c r="Q58" s="5"/>
      <c r="T58" s="493" t="s">
        <v>306</v>
      </c>
      <c r="U58" s="493"/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/>
      <c r="AD58" s="4"/>
      <c r="AE58" s="4"/>
      <c r="AF58" s="4"/>
      <c r="AG58" s="4"/>
      <c r="AH58" s="4">
        <f>SUM(V58:AG58)</f>
        <v>0</v>
      </c>
      <c r="AI58" s="555">
        <f>AH61/U57</f>
        <v>1.3207090320775069E-2</v>
      </c>
      <c r="AL58" s="493" t="s">
        <v>307</v>
      </c>
      <c r="AM58" s="493"/>
      <c r="AN58" s="85">
        <f>D60</f>
        <v>7.874015748031496E-3</v>
      </c>
      <c r="AO58" s="85">
        <f>E60</f>
        <v>1.9594121763470959E-2</v>
      </c>
      <c r="AP58" s="128">
        <f>F60</f>
        <v>5.811540058115401E-3</v>
      </c>
      <c r="AQ58" s="128">
        <f t="shared" ref="AQ58:AR58" si="10">G60</f>
        <v>8.7421078193297714E-3</v>
      </c>
      <c r="AR58" s="128">
        <f t="shared" si="10"/>
        <v>1.3167013167013167E-2</v>
      </c>
      <c r="AS58" s="4">
        <f t="shared" ref="AS58:AY58" si="11">I58</f>
        <v>4</v>
      </c>
      <c r="AT58" s="4">
        <f t="shared" si="11"/>
        <v>21</v>
      </c>
      <c r="AU58" s="4">
        <f t="shared" si="11"/>
        <v>0</v>
      </c>
      <c r="AV58" s="4">
        <f t="shared" si="11"/>
        <v>0</v>
      </c>
      <c r="AW58" s="4">
        <f t="shared" si="11"/>
        <v>0</v>
      </c>
      <c r="AX58" s="4">
        <f t="shared" si="11"/>
        <v>0</v>
      </c>
      <c r="AY58" s="4">
        <f t="shared" si="11"/>
        <v>0</v>
      </c>
      <c r="AZ58" s="4">
        <f>SUM(AN58:AY58)</f>
        <v>25.05518879855596</v>
      </c>
      <c r="BA58" s="5"/>
    </row>
    <row r="59" spans="1:53" x14ac:dyDescent="0.25">
      <c r="A59" s="493" t="s">
        <v>308</v>
      </c>
      <c r="B59" s="493"/>
      <c r="C59" s="2"/>
      <c r="D59" s="4">
        <v>1651</v>
      </c>
      <c r="E59" s="4">
        <v>1429</v>
      </c>
      <c r="F59" s="4">
        <v>2409</v>
      </c>
      <c r="G59" s="4">
        <v>2059</v>
      </c>
      <c r="H59" s="4">
        <v>1443</v>
      </c>
      <c r="I59" s="4">
        <v>1281</v>
      </c>
      <c r="J59" s="4">
        <v>1780</v>
      </c>
      <c r="K59" s="4"/>
      <c r="L59" s="4"/>
      <c r="M59" s="4"/>
      <c r="N59" s="4"/>
      <c r="O59" s="4"/>
      <c r="P59" s="4">
        <f>SUM(D59:O59)</f>
        <v>12052</v>
      </c>
      <c r="Q59" s="128"/>
      <c r="T59" s="493" t="s">
        <v>309</v>
      </c>
      <c r="U59" s="493"/>
      <c r="V59" s="4">
        <v>11</v>
      </c>
      <c r="W59" s="4">
        <v>10</v>
      </c>
      <c r="X59" s="4">
        <v>8</v>
      </c>
      <c r="Y59" s="4">
        <v>21</v>
      </c>
      <c r="Z59" s="4">
        <v>9</v>
      </c>
      <c r="AA59" s="4">
        <v>4</v>
      </c>
      <c r="AB59" s="4" t="s">
        <v>439</v>
      </c>
      <c r="AC59" s="4"/>
      <c r="AD59" s="4"/>
      <c r="AE59" s="4"/>
      <c r="AF59" s="4"/>
      <c r="AG59" s="4"/>
      <c r="AH59" s="4">
        <f>SUM(V59:AG59)</f>
        <v>63</v>
      </c>
      <c r="AI59" s="556"/>
      <c r="AL59" s="493" t="s">
        <v>310</v>
      </c>
      <c r="AM59" s="493"/>
      <c r="AN59" s="85">
        <f>V61</f>
        <v>2.2196662429122021E-4</v>
      </c>
      <c r="AO59" s="85">
        <f>W61</f>
        <v>1.6895887540972526E-4</v>
      </c>
      <c r="AP59" s="85">
        <f>X61</f>
        <v>1.3750193362094154E-4</v>
      </c>
      <c r="AQ59" s="85">
        <f>Y61</f>
        <v>3.4835113794705065E-4</v>
      </c>
      <c r="AR59" s="85">
        <f>Z61</f>
        <v>1.5772870662460569E-4</v>
      </c>
      <c r="AS59" s="4">
        <f t="shared" ref="AS59:AY59" si="12">AA60</f>
        <v>33743</v>
      </c>
      <c r="AT59" s="4">
        <f t="shared" si="12"/>
        <v>0</v>
      </c>
      <c r="AU59" s="4">
        <f t="shared" si="12"/>
        <v>0</v>
      </c>
      <c r="AV59" s="4">
        <f t="shared" si="12"/>
        <v>0</v>
      </c>
      <c r="AW59" s="4">
        <f t="shared" si="12"/>
        <v>0</v>
      </c>
      <c r="AX59" s="4">
        <f t="shared" si="12"/>
        <v>0</v>
      </c>
      <c r="AY59" s="4">
        <f t="shared" si="12"/>
        <v>0</v>
      </c>
      <c r="AZ59" s="4">
        <f>SUM(AN59:AY59)</f>
        <v>33743.001034507281</v>
      </c>
      <c r="BA59" s="28">
        <f>AZ59/AZ58</f>
        <v>1346.7470273643294</v>
      </c>
    </row>
    <row r="60" spans="1:53" x14ac:dyDescent="0.25">
      <c r="A60" s="493" t="s">
        <v>204</v>
      </c>
      <c r="B60" s="493"/>
      <c r="C60" s="2"/>
      <c r="D60" s="128">
        <f>D58/D59</f>
        <v>7.874015748031496E-3</v>
      </c>
      <c r="E60" s="128">
        <f>E58/E59</f>
        <v>1.9594121763470959E-2</v>
      </c>
      <c r="F60" s="128">
        <f>F58/F59</f>
        <v>5.811540058115401E-3</v>
      </c>
      <c r="G60" s="128">
        <f>G58/G59</f>
        <v>8.7421078193297714E-3</v>
      </c>
      <c r="H60" s="128">
        <f>H58/H59</f>
        <v>1.3167013167013167E-2</v>
      </c>
      <c r="I60" s="128">
        <f t="shared" ref="I60:J60" si="13">I58/I59</f>
        <v>3.1225604996096799E-3</v>
      </c>
      <c r="J60" s="128">
        <f t="shared" si="13"/>
        <v>1.1797752808988765E-2</v>
      </c>
      <c r="K60" s="4"/>
      <c r="L60" s="4"/>
      <c r="M60" s="4"/>
      <c r="N60" s="4"/>
      <c r="O60" s="4"/>
      <c r="P60" s="128"/>
      <c r="Q60" s="128">
        <f>AVERAGE(D60:O60)</f>
        <v>1.0015587409222747E-2</v>
      </c>
      <c r="T60" s="493" t="s">
        <v>311</v>
      </c>
      <c r="U60" s="493"/>
      <c r="V60" s="38">
        <v>49557</v>
      </c>
      <c r="W60" s="38">
        <v>59186</v>
      </c>
      <c r="X60" s="38">
        <v>58181</v>
      </c>
      <c r="Y60" s="38">
        <v>60284</v>
      </c>
      <c r="Z60" s="38">
        <v>57060</v>
      </c>
      <c r="AA60" s="38">
        <f>25446+8297</f>
        <v>33743</v>
      </c>
      <c r="AB60" s="38">
        <f t="shared" ref="AB60:AG60" si="14">SUM(AB58:AB59)</f>
        <v>0</v>
      </c>
      <c r="AC60" s="38">
        <f t="shared" si="14"/>
        <v>0</v>
      </c>
      <c r="AD60" s="38">
        <f t="shared" si="14"/>
        <v>0</v>
      </c>
      <c r="AE60" s="38">
        <f t="shared" si="14"/>
        <v>0</v>
      </c>
      <c r="AF60" s="38">
        <f t="shared" si="14"/>
        <v>0</v>
      </c>
      <c r="AG60" s="38">
        <f t="shared" si="14"/>
        <v>0</v>
      </c>
      <c r="AH60" s="4">
        <f>SUM(V60:AG60)</f>
        <v>318011</v>
      </c>
      <c r="AI60" s="556"/>
      <c r="AL60" s="493" t="s">
        <v>312</v>
      </c>
      <c r="AM60" s="493"/>
      <c r="AN60" s="128">
        <f>AVERAGE(AN58:AN59)</f>
        <v>4.0479911861613579E-3</v>
      </c>
      <c r="AO60" s="128">
        <f>AVERAGE(AO58:AO59)</f>
        <v>9.8815403194403417E-3</v>
      </c>
      <c r="AP60" s="128">
        <f>AVERAGE(AP58:AP59)</f>
        <v>2.9745209958681714E-3</v>
      </c>
      <c r="AQ60" s="128">
        <f t="shared" ref="AQ60:AR60" si="15">AVERAGE(AQ58:AQ59)</f>
        <v>4.5452294786384106E-3</v>
      </c>
      <c r="AR60" s="128">
        <f t="shared" si="15"/>
        <v>6.6623709368188863E-3</v>
      </c>
      <c r="AS60" s="128">
        <f t="shared" ref="AS60:AZ60" si="16">SUM(AS58:AS59)</f>
        <v>33747</v>
      </c>
      <c r="AT60" s="128">
        <f t="shared" si="16"/>
        <v>21</v>
      </c>
      <c r="AU60" s="128">
        <f t="shared" si="16"/>
        <v>0</v>
      </c>
      <c r="AV60" s="128">
        <f t="shared" si="16"/>
        <v>0</v>
      </c>
      <c r="AW60" s="128">
        <f t="shared" si="16"/>
        <v>0</v>
      </c>
      <c r="AX60" s="128">
        <f t="shared" si="16"/>
        <v>0</v>
      </c>
      <c r="AY60" s="128">
        <f t="shared" si="16"/>
        <v>0</v>
      </c>
      <c r="AZ60" s="128">
        <f t="shared" si="16"/>
        <v>33768.056223305837</v>
      </c>
      <c r="BA60" s="5"/>
    </row>
    <row r="61" spans="1:53" x14ac:dyDescent="0.25">
      <c r="A61" s="494" t="s">
        <v>127</v>
      </c>
      <c r="B61" s="494"/>
      <c r="C61" s="1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T61" s="493" t="s">
        <v>313</v>
      </c>
      <c r="U61" s="493"/>
      <c r="V61" s="85">
        <f t="shared" ref="V61:AA61" si="17">(V59/V60)</f>
        <v>2.2196662429122021E-4</v>
      </c>
      <c r="W61" s="85">
        <f t="shared" si="17"/>
        <v>1.6895887540972526E-4</v>
      </c>
      <c r="X61" s="85">
        <f t="shared" si="17"/>
        <v>1.3750193362094154E-4</v>
      </c>
      <c r="Y61" s="85">
        <f t="shared" si="17"/>
        <v>3.4835113794705065E-4</v>
      </c>
      <c r="Z61" s="85">
        <f t="shared" si="17"/>
        <v>1.5772870662460569E-4</v>
      </c>
      <c r="AA61" s="85">
        <f t="shared" si="17"/>
        <v>1.1854310523664167E-4</v>
      </c>
      <c r="AB61" s="85" t="s">
        <v>439</v>
      </c>
      <c r="AC61" s="85"/>
      <c r="AD61" s="85"/>
      <c r="AE61" s="85"/>
      <c r="AF61" s="85"/>
      <c r="AG61" s="85"/>
      <c r="AH61" s="85">
        <f t="shared" ref="AH61" si="18">(AH59/AH60)</f>
        <v>1.9810635481162602E-4</v>
      </c>
      <c r="AI61" s="557"/>
      <c r="AL61" s="493"/>
      <c r="AM61" s="493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3"/>
    </row>
    <row r="62" spans="1:53" x14ac:dyDescent="0.25">
      <c r="Q62" s="168"/>
      <c r="T62" s="494"/>
      <c r="U62" s="494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L62" s="494"/>
      <c r="AM62" s="494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</row>
    <row r="63" spans="1:53" x14ac:dyDescent="0.25">
      <c r="T63" s="13"/>
      <c r="U63" s="13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168"/>
      <c r="AI63" s="328"/>
      <c r="AL63" s="13"/>
      <c r="AM63" s="13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</row>
    <row r="64" spans="1:53" x14ac:dyDescent="0.25">
      <c r="T64" s="13"/>
      <c r="U64" s="13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L64" s="13"/>
      <c r="AM64" s="13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</row>
    <row r="65" spans="20:52" x14ac:dyDescent="0.25">
      <c r="T65" s="13"/>
      <c r="U65" s="13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L65" s="13"/>
      <c r="AM65" s="13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</row>
    <row r="66" spans="20:52" ht="15.75" customHeight="1" x14ac:dyDescent="0.25">
      <c r="T66" s="13"/>
      <c r="U66" s="13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L66" s="13"/>
      <c r="AM66" s="102" t="s">
        <v>314</v>
      </c>
      <c r="AN66" s="102"/>
      <c r="AO66" s="102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</row>
    <row r="67" spans="20:52" ht="15.75" customHeight="1" x14ac:dyDescent="0.25">
      <c r="T67" s="13"/>
      <c r="U67" s="13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L67" s="13"/>
      <c r="AM67" s="102" t="s">
        <v>315</v>
      </c>
      <c r="AN67" s="102"/>
      <c r="AO67" s="102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</row>
    <row r="68" spans="20:52" ht="15.75" customHeight="1" x14ac:dyDescent="0.25">
      <c r="T68" s="13"/>
      <c r="U68" s="13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L68" s="13"/>
      <c r="AM68" s="102" t="s">
        <v>316</v>
      </c>
      <c r="AN68" s="102"/>
      <c r="AO68" s="102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</row>
    <row r="69" spans="20:52" ht="15" customHeight="1" x14ac:dyDescent="0.25">
      <c r="T69" s="13"/>
      <c r="U69" s="13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L69" s="13"/>
      <c r="AM69" s="102"/>
      <c r="AN69" s="102"/>
      <c r="AO69" s="102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</row>
    <row r="70" spans="20:52" ht="15" customHeight="1" x14ac:dyDescent="0.25">
      <c r="T70" s="13"/>
      <c r="U70" s="13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L70" s="13"/>
      <c r="AM70" s="102"/>
      <c r="AN70" s="102"/>
      <c r="AO70" s="102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</row>
    <row r="71" spans="20:52" ht="15" customHeight="1" x14ac:dyDescent="0.25">
      <c r="T71" s="13"/>
      <c r="U71" s="13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L71" s="13"/>
      <c r="AM71" s="102"/>
      <c r="AN71" s="102"/>
      <c r="AO71" s="102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</row>
    <row r="72" spans="20:52" x14ac:dyDescent="0.25">
      <c r="T72" s="13"/>
      <c r="U72" s="13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L72" s="13"/>
      <c r="AM72" s="13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</row>
    <row r="73" spans="20:52" x14ac:dyDescent="0.25">
      <c r="T73" s="13"/>
      <c r="U73" s="13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L73" s="13"/>
      <c r="AM73" s="13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</row>
    <row r="74" spans="20:52" x14ac:dyDescent="0.25">
      <c r="T74" s="494"/>
      <c r="U74" s="494"/>
    </row>
    <row r="91" spans="1:35" x14ac:dyDescent="0.25">
      <c r="A91" s="493" t="s">
        <v>95</v>
      </c>
      <c r="B91" s="493"/>
      <c r="C91" s="94">
        <v>2025</v>
      </c>
      <c r="D91" s="3" t="s">
        <v>97</v>
      </c>
      <c r="E91" s="3" t="s">
        <v>98</v>
      </c>
      <c r="F91" s="3" t="s">
        <v>99</v>
      </c>
      <c r="G91" s="3" t="s">
        <v>100</v>
      </c>
      <c r="H91" s="3" t="s">
        <v>101</v>
      </c>
      <c r="I91" s="3" t="s">
        <v>102</v>
      </c>
      <c r="J91" s="3" t="s">
        <v>103</v>
      </c>
      <c r="K91" s="3" t="s">
        <v>104</v>
      </c>
      <c r="L91" s="3" t="s">
        <v>105</v>
      </c>
      <c r="M91" s="3" t="s">
        <v>106</v>
      </c>
      <c r="N91" s="3" t="s">
        <v>107</v>
      </c>
      <c r="O91" s="3" t="s">
        <v>108</v>
      </c>
      <c r="P91" s="3" t="s">
        <v>317</v>
      </c>
      <c r="Q91" s="3" t="s">
        <v>110</v>
      </c>
      <c r="T91" s="493" t="s">
        <v>95</v>
      </c>
      <c r="U91" s="493"/>
      <c r="V91" s="3" t="s">
        <v>97</v>
      </c>
      <c r="W91" s="3" t="s">
        <v>98</v>
      </c>
      <c r="X91" s="3" t="s">
        <v>99</v>
      </c>
      <c r="Y91" s="3" t="s">
        <v>100</v>
      </c>
      <c r="Z91" s="3" t="s">
        <v>101</v>
      </c>
      <c r="AA91" s="3" t="s">
        <v>102</v>
      </c>
      <c r="AB91" s="3" t="s">
        <v>103</v>
      </c>
      <c r="AC91" s="3" t="s">
        <v>104</v>
      </c>
      <c r="AD91" s="3" t="s">
        <v>105</v>
      </c>
      <c r="AE91" s="3" t="s">
        <v>106</v>
      </c>
      <c r="AF91" s="3" t="s">
        <v>107</v>
      </c>
      <c r="AG91" s="3" t="s">
        <v>108</v>
      </c>
      <c r="AH91" s="3" t="s">
        <v>317</v>
      </c>
      <c r="AI91" s="3" t="s">
        <v>110</v>
      </c>
    </row>
    <row r="92" spans="1:35" x14ac:dyDescent="0.25">
      <c r="A92" s="30" t="s">
        <v>178</v>
      </c>
      <c r="B92" s="36">
        <v>4000</v>
      </c>
      <c r="C92" s="36"/>
      <c r="D92" s="37">
        <v>4000</v>
      </c>
      <c r="E92" s="37">
        <v>4000</v>
      </c>
      <c r="F92" s="37">
        <v>4000</v>
      </c>
      <c r="G92" s="37">
        <v>4000</v>
      </c>
      <c r="H92" s="37">
        <v>4000</v>
      </c>
      <c r="I92" s="37">
        <v>4000</v>
      </c>
      <c r="J92" s="37">
        <v>4000</v>
      </c>
      <c r="K92" s="37">
        <v>4000</v>
      </c>
      <c r="L92" s="37">
        <v>4000</v>
      </c>
      <c r="M92" s="37">
        <v>4000</v>
      </c>
      <c r="N92" s="37">
        <v>4000</v>
      </c>
      <c r="O92" s="37">
        <v>4000</v>
      </c>
      <c r="P92" s="25"/>
      <c r="Q92" s="18"/>
      <c r="T92" s="30" t="s">
        <v>178</v>
      </c>
      <c r="U92" s="36">
        <v>800</v>
      </c>
      <c r="V92" s="37">
        <v>800</v>
      </c>
      <c r="W92" s="37">
        <v>800</v>
      </c>
      <c r="X92" s="37">
        <v>800</v>
      </c>
      <c r="Y92" s="37">
        <v>800</v>
      </c>
      <c r="Z92" s="37">
        <v>800</v>
      </c>
      <c r="AA92" s="37">
        <v>800</v>
      </c>
      <c r="AB92" s="37">
        <v>800</v>
      </c>
      <c r="AC92" s="37">
        <v>800</v>
      </c>
      <c r="AD92" s="37">
        <v>800</v>
      </c>
      <c r="AE92" s="37">
        <v>800</v>
      </c>
      <c r="AF92" s="37">
        <v>800</v>
      </c>
      <c r="AG92" s="37">
        <v>800</v>
      </c>
      <c r="AH92" s="25"/>
      <c r="AI92" s="18"/>
    </row>
    <row r="93" spans="1:35" x14ac:dyDescent="0.25">
      <c r="A93" s="493" t="s">
        <v>318</v>
      </c>
      <c r="B93" s="493"/>
      <c r="C93" s="94">
        <v>3917</v>
      </c>
      <c r="D93" s="4">
        <v>3034</v>
      </c>
      <c r="E93" s="4">
        <v>2680</v>
      </c>
      <c r="F93" s="4">
        <v>4974</v>
      </c>
      <c r="G93" s="4">
        <v>2772</v>
      </c>
      <c r="H93" s="4">
        <v>2576</v>
      </c>
      <c r="I93" s="4">
        <v>4772</v>
      </c>
      <c r="J93" s="149" t="s">
        <v>439</v>
      </c>
      <c r="K93" s="4"/>
      <c r="L93" s="4"/>
      <c r="M93" s="4"/>
      <c r="N93" s="4"/>
      <c r="O93" s="4"/>
      <c r="P93" s="4">
        <f>AVERAGE(D93:O93)</f>
        <v>3468</v>
      </c>
      <c r="Q93" s="548">
        <f>P96/B92</f>
        <v>0.74087499999999995</v>
      </c>
      <c r="T93" s="493" t="s">
        <v>319</v>
      </c>
      <c r="U93" s="493"/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/>
      <c r="AD93" s="4"/>
      <c r="AE93" s="4"/>
      <c r="AF93" s="4"/>
      <c r="AG93" s="4"/>
      <c r="AH93" s="4">
        <f>AVERAGE(V93:AG93)</f>
        <v>0</v>
      </c>
      <c r="AI93" s="548">
        <f>AH96/U92</f>
        <v>6.1148226041976042</v>
      </c>
    </row>
    <row r="94" spans="1:35" x14ac:dyDescent="0.25">
      <c r="A94" s="493" t="s">
        <v>320</v>
      </c>
      <c r="B94" s="493"/>
      <c r="C94" s="2"/>
      <c r="D94" s="4">
        <v>0</v>
      </c>
      <c r="E94" s="4">
        <v>6850</v>
      </c>
      <c r="F94" s="4">
        <v>3726</v>
      </c>
      <c r="G94" s="4">
        <v>120</v>
      </c>
      <c r="H94" s="4">
        <v>4058</v>
      </c>
      <c r="I94" s="4">
        <v>0</v>
      </c>
      <c r="J94" s="149" t="s">
        <v>439</v>
      </c>
      <c r="K94" s="4"/>
      <c r="L94" s="4"/>
      <c r="M94" s="4"/>
      <c r="N94" s="4"/>
      <c r="O94" s="4"/>
      <c r="P94" s="4">
        <f>AVERAGE(D94:O94)</f>
        <v>2459</v>
      </c>
      <c r="Q94" s="549"/>
      <c r="T94" s="493" t="s">
        <v>321</v>
      </c>
      <c r="U94" s="493"/>
      <c r="V94" s="4">
        <v>155</v>
      </c>
      <c r="W94" s="4">
        <v>162</v>
      </c>
      <c r="X94" s="4">
        <v>124</v>
      </c>
      <c r="Y94" s="4">
        <v>332.6</v>
      </c>
      <c r="Z94" s="4">
        <v>158</v>
      </c>
      <c r="AA94" s="4">
        <v>0</v>
      </c>
      <c r="AB94" s="4">
        <v>0</v>
      </c>
      <c r="AC94" s="4"/>
      <c r="AD94" s="4"/>
      <c r="AE94" s="4"/>
      <c r="AF94" s="4"/>
      <c r="AG94" s="4"/>
      <c r="AH94" s="4">
        <f>AVERAGE(V94:AG94)</f>
        <v>133.08571428571429</v>
      </c>
      <c r="AI94" s="549"/>
    </row>
    <row r="95" spans="1:35" x14ac:dyDescent="0.25">
      <c r="A95" s="493" t="s">
        <v>322</v>
      </c>
      <c r="B95" s="493"/>
      <c r="C95" s="2"/>
      <c r="D95" s="38">
        <f t="shared" ref="D95:I95" si="19">SUM(D93:D94)</f>
        <v>3034</v>
      </c>
      <c r="E95" s="38">
        <f t="shared" si="19"/>
        <v>9530</v>
      </c>
      <c r="F95" s="38">
        <f t="shared" si="19"/>
        <v>8700</v>
      </c>
      <c r="G95" s="38">
        <f t="shared" si="19"/>
        <v>2892</v>
      </c>
      <c r="H95" s="38">
        <f t="shared" si="19"/>
        <v>6634</v>
      </c>
      <c r="I95" s="38">
        <f t="shared" si="19"/>
        <v>4772</v>
      </c>
      <c r="J95" s="407" t="s">
        <v>439</v>
      </c>
      <c r="K95" s="4"/>
      <c r="L95" s="4"/>
      <c r="M95" s="4"/>
      <c r="N95" s="4"/>
      <c r="O95" s="4"/>
      <c r="P95" s="4">
        <f>SUM(D95:O95)</f>
        <v>35562</v>
      </c>
      <c r="Q95" s="549"/>
      <c r="T95" s="493" t="s">
        <v>323</v>
      </c>
      <c r="U95" s="493"/>
      <c r="V95" s="38">
        <v>6060</v>
      </c>
      <c r="W95" s="38">
        <v>19594</v>
      </c>
      <c r="X95" s="38">
        <v>5811</v>
      </c>
      <c r="Y95" s="339">
        <v>8742</v>
      </c>
      <c r="Z95" s="38">
        <f>(H58/H59)*1000000</f>
        <v>13167.013167013167</v>
      </c>
      <c r="AA95" s="38">
        <v>3115</v>
      </c>
      <c r="AB95" s="38">
        <v>11997</v>
      </c>
      <c r="AC95" s="4"/>
      <c r="AD95" s="4"/>
      <c r="AE95" s="4"/>
      <c r="AF95" s="4"/>
      <c r="AG95" s="4"/>
      <c r="AH95" s="4">
        <f>SUM(V95:AG95)</f>
        <v>68486.013167013167</v>
      </c>
      <c r="AI95" s="549"/>
    </row>
    <row r="96" spans="1:35" x14ac:dyDescent="0.25">
      <c r="A96" s="500" t="s">
        <v>324</v>
      </c>
      <c r="B96" s="543"/>
      <c r="C96" s="97"/>
      <c r="D96" s="4">
        <f t="shared" ref="D96:I96" si="20">AVERAGE(D93:D94)</f>
        <v>1517</v>
      </c>
      <c r="E96" s="4">
        <f t="shared" si="20"/>
        <v>4765</v>
      </c>
      <c r="F96" s="4">
        <f t="shared" si="20"/>
        <v>4350</v>
      </c>
      <c r="G96" s="4">
        <f t="shared" si="20"/>
        <v>1446</v>
      </c>
      <c r="H96" s="4">
        <f t="shared" si="20"/>
        <v>3317</v>
      </c>
      <c r="I96" s="4">
        <f t="shared" si="20"/>
        <v>2386</v>
      </c>
      <c r="J96" s="94" t="s">
        <v>439</v>
      </c>
      <c r="K96" s="3"/>
      <c r="L96" s="3"/>
      <c r="M96" s="3"/>
      <c r="N96" s="3"/>
      <c r="O96" s="3"/>
      <c r="P96" s="4">
        <f>AVERAGE(D96:O96)</f>
        <v>2963.5</v>
      </c>
      <c r="Q96" s="550"/>
      <c r="T96" s="500" t="s">
        <v>324</v>
      </c>
      <c r="U96" s="543"/>
      <c r="V96" s="32">
        <f>V95/2</f>
        <v>3030</v>
      </c>
      <c r="W96" s="32">
        <f t="shared" ref="W96:AB96" si="21">W95/2</f>
        <v>9797</v>
      </c>
      <c r="X96" s="32">
        <f t="shared" si="21"/>
        <v>2905.5</v>
      </c>
      <c r="Y96" s="32">
        <f t="shared" si="21"/>
        <v>4371</v>
      </c>
      <c r="Z96" s="32">
        <f t="shared" si="21"/>
        <v>6583.5065835065834</v>
      </c>
      <c r="AA96" s="32">
        <f t="shared" si="21"/>
        <v>1557.5</v>
      </c>
      <c r="AB96" s="32">
        <f t="shared" si="21"/>
        <v>5998.5</v>
      </c>
      <c r="AC96" s="3"/>
      <c r="AD96" s="3"/>
      <c r="AE96" s="3"/>
      <c r="AF96" s="3"/>
      <c r="AG96" s="3"/>
      <c r="AH96" s="3">
        <f>AVERAGE(V96:AG96)</f>
        <v>4891.8580833580836</v>
      </c>
      <c r="AI96" s="550"/>
    </row>
    <row r="99" spans="23:23" x14ac:dyDescent="0.25">
      <c r="W99" t="s">
        <v>325</v>
      </c>
    </row>
    <row r="120" spans="1:17" x14ac:dyDescent="0.25">
      <c r="A120" s="493" t="s">
        <v>95</v>
      </c>
      <c r="B120" s="493"/>
      <c r="C120" s="2"/>
      <c r="D120" s="3" t="s">
        <v>97</v>
      </c>
      <c r="E120" s="3" t="s">
        <v>98</v>
      </c>
      <c r="F120" s="3" t="s">
        <v>99</v>
      </c>
      <c r="G120" s="3" t="s">
        <v>100</v>
      </c>
      <c r="H120" s="3" t="s">
        <v>101</v>
      </c>
      <c r="I120" s="3" t="s">
        <v>102</v>
      </c>
      <c r="J120" s="3" t="s">
        <v>103</v>
      </c>
      <c r="K120" s="3" t="s">
        <v>104</v>
      </c>
      <c r="L120" s="3" t="s">
        <v>105</v>
      </c>
      <c r="M120" s="3" t="s">
        <v>106</v>
      </c>
      <c r="N120" s="3" t="s">
        <v>107</v>
      </c>
      <c r="O120" s="3" t="s">
        <v>108</v>
      </c>
      <c r="P120" s="3" t="s">
        <v>141</v>
      </c>
      <c r="Q120" s="3" t="s">
        <v>110</v>
      </c>
    </row>
    <row r="121" spans="1:17" x14ac:dyDescent="0.25">
      <c r="A121" s="493" t="s">
        <v>326</v>
      </c>
      <c r="B121" s="493"/>
      <c r="C121" s="2"/>
      <c r="D121" s="83">
        <f>(13/142)</f>
        <v>9.154929577464789E-2</v>
      </c>
      <c r="E121" s="83">
        <f>28/142</f>
        <v>0.19718309859154928</v>
      </c>
      <c r="F121" s="83">
        <f>14/142</f>
        <v>9.8591549295774641E-2</v>
      </c>
      <c r="G121" s="83">
        <f>21/142</f>
        <v>0.14788732394366197</v>
      </c>
      <c r="H121" s="83">
        <v>3.5211267605633804E-2</v>
      </c>
      <c r="I121" s="83">
        <f>4/142</f>
        <v>2.8169014084507043E-2</v>
      </c>
      <c r="J121" s="83">
        <f>5/142</f>
        <v>3.5211267605633804E-2</v>
      </c>
      <c r="K121" s="4"/>
      <c r="L121" s="4"/>
      <c r="M121" s="4"/>
      <c r="N121" s="4"/>
      <c r="O121" s="4"/>
      <c r="P121" s="4"/>
      <c r="Q121" s="548"/>
    </row>
    <row r="122" spans="1:17" x14ac:dyDescent="0.25">
      <c r="A122" s="493" t="s">
        <v>327</v>
      </c>
      <c r="B122" s="493"/>
      <c r="C122" s="2"/>
      <c r="D122" s="83">
        <f>(2/13)</f>
        <v>0.15384615384615385</v>
      </c>
      <c r="E122" s="28">
        <f>28/28</f>
        <v>1</v>
      </c>
      <c r="F122" s="28">
        <v>1</v>
      </c>
      <c r="G122" s="28">
        <v>1</v>
      </c>
      <c r="H122" s="28">
        <v>1</v>
      </c>
      <c r="I122" s="28">
        <v>1</v>
      </c>
      <c r="J122" s="28">
        <v>1</v>
      </c>
      <c r="K122" s="4"/>
      <c r="L122" s="4"/>
      <c r="M122" s="4"/>
      <c r="N122" s="4"/>
      <c r="O122" s="4"/>
      <c r="P122" s="4"/>
      <c r="Q122" s="549"/>
    </row>
    <row r="123" spans="1:17" x14ac:dyDescent="0.25">
      <c r="A123" s="500"/>
      <c r="B123" s="543"/>
      <c r="C123" s="9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550"/>
    </row>
    <row r="126" spans="1:17" x14ac:dyDescent="0.25">
      <c r="E126" s="208" t="s">
        <v>325</v>
      </c>
      <c r="F126" s="208"/>
      <c r="G126" s="208"/>
      <c r="H126" s="208"/>
    </row>
  </sheetData>
  <mergeCells count="42">
    <mergeCell ref="T62:U62"/>
    <mergeCell ref="T74:U74"/>
    <mergeCell ref="AL56:AM56"/>
    <mergeCell ref="AL58:AM58"/>
    <mergeCell ref="AL59:AM59"/>
    <mergeCell ref="AL60:AM60"/>
    <mergeCell ref="AL61:AM61"/>
    <mergeCell ref="AL62:AM62"/>
    <mergeCell ref="T56:U56"/>
    <mergeCell ref="T58:U58"/>
    <mergeCell ref="T59:U59"/>
    <mergeCell ref="T60:U60"/>
    <mergeCell ref="T61:U61"/>
    <mergeCell ref="AI58:AI61"/>
    <mergeCell ref="A56:B56"/>
    <mergeCell ref="A58:B58"/>
    <mergeCell ref="A59:B59"/>
    <mergeCell ref="A60:B60"/>
    <mergeCell ref="A61:B61"/>
    <mergeCell ref="A22:B22"/>
    <mergeCell ref="A24:B24"/>
    <mergeCell ref="A26:B26"/>
    <mergeCell ref="A27:B27"/>
    <mergeCell ref="A28:B28"/>
    <mergeCell ref="A25:B25"/>
    <mergeCell ref="A91:B91"/>
    <mergeCell ref="A93:B93"/>
    <mergeCell ref="A94:B94"/>
    <mergeCell ref="A95:B95"/>
    <mergeCell ref="A96:B96"/>
    <mergeCell ref="Q93:Q96"/>
    <mergeCell ref="T91:U91"/>
    <mergeCell ref="T93:U93"/>
    <mergeCell ref="AI93:AI96"/>
    <mergeCell ref="T94:U94"/>
    <mergeCell ref="T95:U95"/>
    <mergeCell ref="T96:U96"/>
    <mergeCell ref="A120:B120"/>
    <mergeCell ref="A121:B121"/>
    <mergeCell ref="Q121:Q123"/>
    <mergeCell ref="A122:B122"/>
    <mergeCell ref="A123:B123"/>
  </mergeCells>
  <printOptions horizontalCentered="1" verticalCentered="1"/>
  <pageMargins left="0.11811023622047245" right="0.11811023622047245" top="0.78740157480314965" bottom="0.39370078740157483" header="0.31496062992125984" footer="0.31496062992125984"/>
  <pageSetup paperSize="9" scale="27" orientation="landscape" horizontalDpi="203" verticalDpi="20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58FCC-AD41-4560-987A-7BAC6AE4AEC3}">
  <sheetPr>
    <pageSetUpPr fitToPage="1"/>
  </sheetPr>
  <dimension ref="A21:AZ36"/>
  <sheetViews>
    <sheetView showGridLines="0" topLeftCell="A7" zoomScale="80" zoomScaleNormal="80" workbookViewId="0">
      <selection activeCell="J25" sqref="J25"/>
    </sheetView>
  </sheetViews>
  <sheetFormatPr defaultRowHeight="15" x14ac:dyDescent="0.25"/>
  <cols>
    <col min="1" max="1" width="11.28515625" bestFit="1" customWidth="1"/>
    <col min="2" max="2" width="11.28515625" customWidth="1"/>
    <col min="3" max="14" width="10.140625" bestFit="1" customWidth="1"/>
    <col min="15" max="15" width="9.85546875" bestFit="1" customWidth="1"/>
    <col min="16" max="16" width="7.140625" bestFit="1" customWidth="1"/>
    <col min="20" max="20" width="6.5703125" bestFit="1" customWidth="1"/>
    <col min="21" max="21" width="12.28515625" bestFit="1" customWidth="1"/>
    <col min="22" max="22" width="10.28515625" bestFit="1" customWidth="1"/>
    <col min="23" max="23" width="12.140625" bestFit="1" customWidth="1"/>
    <col min="24" max="24" width="11.140625" bestFit="1" customWidth="1"/>
    <col min="33" max="33" width="8" bestFit="1" customWidth="1"/>
    <col min="34" max="34" width="9.85546875" bestFit="1" customWidth="1"/>
    <col min="38" max="38" width="11.28515625" customWidth="1"/>
    <col min="52" max="52" width="9.85546875" bestFit="1" customWidth="1"/>
  </cols>
  <sheetData>
    <row r="21" spans="1:52" x14ac:dyDescent="0.25">
      <c r="S21" s="493" t="s">
        <v>95</v>
      </c>
      <c r="T21" s="493"/>
      <c r="U21" s="3" t="s">
        <v>97</v>
      </c>
      <c r="V21" s="3" t="s">
        <v>98</v>
      </c>
      <c r="W21" s="3" t="s">
        <v>99</v>
      </c>
      <c r="X21" s="3" t="s">
        <v>100</v>
      </c>
      <c r="Y21" s="3" t="s">
        <v>101</v>
      </c>
      <c r="Z21" s="3" t="s">
        <v>102</v>
      </c>
      <c r="AA21" s="3" t="s">
        <v>103</v>
      </c>
      <c r="AB21" s="3" t="s">
        <v>104</v>
      </c>
      <c r="AC21" s="3" t="s">
        <v>105</v>
      </c>
      <c r="AD21" s="3" t="s">
        <v>106</v>
      </c>
      <c r="AE21" s="3" t="s">
        <v>107</v>
      </c>
      <c r="AF21" s="3" t="s">
        <v>108</v>
      </c>
      <c r="AG21" s="3" t="s">
        <v>200</v>
      </c>
      <c r="AH21" s="3" t="s">
        <v>177</v>
      </c>
      <c r="AK21" s="493" t="s">
        <v>95</v>
      </c>
      <c r="AL21" s="493"/>
      <c r="AM21" s="3" t="s">
        <v>97</v>
      </c>
      <c r="AN21" s="3" t="s">
        <v>98</v>
      </c>
      <c r="AO21" s="3" t="s">
        <v>99</v>
      </c>
      <c r="AP21" s="3" t="s">
        <v>100</v>
      </c>
      <c r="AQ21" s="3" t="s">
        <v>101</v>
      </c>
      <c r="AR21" s="3" t="s">
        <v>102</v>
      </c>
      <c r="AS21" s="3" t="s">
        <v>103</v>
      </c>
      <c r="AT21" s="3" t="s">
        <v>104</v>
      </c>
      <c r="AU21" s="3" t="s">
        <v>105</v>
      </c>
      <c r="AV21" s="3" t="s">
        <v>106</v>
      </c>
      <c r="AW21" s="3" t="s">
        <v>107</v>
      </c>
      <c r="AX21" s="3" t="s">
        <v>108</v>
      </c>
      <c r="AY21" s="3" t="s">
        <v>200</v>
      </c>
      <c r="AZ21" s="3" t="s">
        <v>177</v>
      </c>
    </row>
    <row r="22" spans="1:52" x14ac:dyDescent="0.25">
      <c r="A22" s="493" t="s">
        <v>95</v>
      </c>
      <c r="B22" s="493"/>
      <c r="C22" s="3" t="s">
        <v>97</v>
      </c>
      <c r="D22" s="3" t="s">
        <v>98</v>
      </c>
      <c r="E22" s="3" t="s">
        <v>99</v>
      </c>
      <c r="F22" s="3" t="s">
        <v>100</v>
      </c>
      <c r="G22" s="3" t="s">
        <v>101</v>
      </c>
      <c r="H22" s="3" t="s">
        <v>102</v>
      </c>
      <c r="I22" s="3" t="s">
        <v>103</v>
      </c>
      <c r="J22" s="3" t="s">
        <v>104</v>
      </c>
      <c r="K22" s="3" t="s">
        <v>105</v>
      </c>
      <c r="L22" s="3" t="s">
        <v>106</v>
      </c>
      <c r="M22" s="3" t="s">
        <v>107</v>
      </c>
      <c r="N22" s="3" t="s">
        <v>108</v>
      </c>
      <c r="O22" s="3" t="s">
        <v>200</v>
      </c>
      <c r="P22" s="3" t="s">
        <v>110</v>
      </c>
      <c r="S22" s="30" t="s">
        <v>178</v>
      </c>
      <c r="T22" s="35">
        <v>2.5000000000000001E-2</v>
      </c>
      <c r="U22" s="33">
        <v>2.5000000000000001E-2</v>
      </c>
      <c r="V22" s="33">
        <v>2.5000000000000001E-2</v>
      </c>
      <c r="W22" s="33">
        <v>2.5000000000000001E-2</v>
      </c>
      <c r="X22" s="33">
        <v>2.5000000000000001E-2</v>
      </c>
      <c r="Y22" s="33">
        <v>2.5000000000000001E-2</v>
      </c>
      <c r="Z22" s="33">
        <v>2.5000000000000001E-2</v>
      </c>
      <c r="AA22" s="33">
        <v>2.5000000000000001E-2</v>
      </c>
      <c r="AB22" s="33">
        <v>2.5000000000000001E-2</v>
      </c>
      <c r="AC22" s="33">
        <v>2.5000000000000001E-2</v>
      </c>
      <c r="AD22" s="33">
        <v>2.5000000000000001E-2</v>
      </c>
      <c r="AE22" s="33">
        <v>2.5000000000000001E-2</v>
      </c>
      <c r="AF22" s="34">
        <v>2.5000000000000001E-2</v>
      </c>
      <c r="AG22" s="3"/>
      <c r="AH22" s="3"/>
      <c r="AK22" s="9" t="s">
        <v>178</v>
      </c>
      <c r="AL22" s="10">
        <v>3</v>
      </c>
      <c r="AM22" s="12">
        <v>3</v>
      </c>
      <c r="AN22" s="12">
        <v>3</v>
      </c>
      <c r="AO22" s="12">
        <v>3</v>
      </c>
      <c r="AP22" s="12">
        <v>3</v>
      </c>
      <c r="AQ22" s="12">
        <v>3</v>
      </c>
      <c r="AR22" s="12">
        <v>3</v>
      </c>
      <c r="AS22" s="12">
        <v>3</v>
      </c>
      <c r="AT22" s="12">
        <v>3</v>
      </c>
      <c r="AU22" s="12">
        <v>3</v>
      </c>
      <c r="AV22" s="12">
        <v>3</v>
      </c>
      <c r="AW22" s="12">
        <v>3</v>
      </c>
      <c r="AX22" s="12">
        <v>3</v>
      </c>
      <c r="AY22" s="3"/>
      <c r="AZ22" s="558">
        <f>AY23/AL22</f>
        <v>9.5349381178655754E-2</v>
      </c>
    </row>
    <row r="23" spans="1:52" x14ac:dyDescent="0.25">
      <c r="A23" s="2" t="s">
        <v>178</v>
      </c>
      <c r="B23" s="14">
        <f>[2]Resultados!$C$60</f>
        <v>250475</v>
      </c>
      <c r="C23" s="24">
        <v>250475</v>
      </c>
      <c r="D23" s="24">
        <v>250475</v>
      </c>
      <c r="E23" s="24">
        <v>250475</v>
      </c>
      <c r="F23" s="24">
        <v>250475</v>
      </c>
      <c r="G23" s="24">
        <v>250475</v>
      </c>
      <c r="H23" s="24">
        <v>250475</v>
      </c>
      <c r="I23" s="24">
        <v>250475</v>
      </c>
      <c r="J23" s="24">
        <v>250475</v>
      </c>
      <c r="K23" s="24">
        <v>250475</v>
      </c>
      <c r="L23" s="24">
        <v>250475</v>
      </c>
      <c r="M23" s="24">
        <v>250475</v>
      </c>
      <c r="N23" s="24">
        <v>250475</v>
      </c>
      <c r="O23" s="25"/>
      <c r="P23" s="18"/>
      <c r="S23" s="500" t="s">
        <v>177</v>
      </c>
      <c r="T23" s="543"/>
      <c r="U23" s="6">
        <f t="shared" ref="U23:AA23" si="0">U24/U25</f>
        <v>3.1831877825259466E-2</v>
      </c>
      <c r="V23" s="6">
        <f t="shared" si="0"/>
        <v>1.3491411311449288E-3</v>
      </c>
      <c r="W23" s="6">
        <f t="shared" si="0"/>
        <v>2.4695374471949312E-2</v>
      </c>
      <c r="X23" s="6">
        <f t="shared" si="0"/>
        <v>6.9582305454573501E-2</v>
      </c>
      <c r="Y23" s="6">
        <f t="shared" si="0"/>
        <v>2.9372972072132568E-2</v>
      </c>
      <c r="Z23" s="6">
        <f t="shared" si="0"/>
        <v>1.8465709474567316E-2</v>
      </c>
      <c r="AA23" s="6">
        <f t="shared" si="0"/>
        <v>0</v>
      </c>
      <c r="AB23" s="6"/>
      <c r="AC23" s="6"/>
      <c r="AD23" s="6"/>
      <c r="AE23" s="6"/>
      <c r="AF23" s="6"/>
      <c r="AG23" s="6">
        <f>SUM(U23:AF23)</f>
        <v>0.17529738042962711</v>
      </c>
      <c r="AH23" s="6">
        <f>AG23/T22</f>
        <v>7.0118952171850841</v>
      </c>
      <c r="AK23" s="500" t="s">
        <v>177</v>
      </c>
      <c r="AL23" s="543"/>
      <c r="AM23" s="11">
        <f t="shared" ref="AM23:AR23" si="1">AM24/AM25</f>
        <v>0.417116067876593</v>
      </c>
      <c r="AN23" s="11">
        <f t="shared" si="1"/>
        <v>3.1490937439095694E-2</v>
      </c>
      <c r="AO23" s="11">
        <f t="shared" si="1"/>
        <v>0.3302053085826735</v>
      </c>
      <c r="AP23" s="11">
        <f t="shared" si="1"/>
        <v>0.61220531770547648</v>
      </c>
      <c r="AQ23" s="11">
        <f t="shared" si="1"/>
        <v>0.37165019277953032</v>
      </c>
      <c r="AR23" s="11">
        <f t="shared" si="1"/>
        <v>0.23966918036840154</v>
      </c>
      <c r="AS23" s="11">
        <v>0</v>
      </c>
      <c r="AT23" s="11"/>
      <c r="AU23" s="11"/>
      <c r="AV23" s="11"/>
      <c r="AW23" s="11"/>
      <c r="AX23" s="11"/>
      <c r="AY23" s="11">
        <f>AVERAGE(AM23:AX23)</f>
        <v>0.28604814353596725</v>
      </c>
      <c r="AZ23" s="559"/>
    </row>
    <row r="24" spans="1:52" x14ac:dyDescent="0.25">
      <c r="A24" s="493" t="s">
        <v>328</v>
      </c>
      <c r="B24" s="493"/>
      <c r="C24" s="41">
        <v>0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/>
      <c r="K24" s="41"/>
      <c r="L24" s="41"/>
      <c r="M24" s="41"/>
      <c r="N24" s="41"/>
      <c r="O24" s="41">
        <f>SUM(C24:N24)</f>
        <v>0</v>
      </c>
      <c r="P24" s="548">
        <f>O25/B23</f>
        <v>8.9905180157700368E-2</v>
      </c>
      <c r="S24" s="493" t="s">
        <v>329</v>
      </c>
      <c r="T24" s="493"/>
      <c r="U24" s="158">
        <v>30406.51</v>
      </c>
      <c r="V24" s="158">
        <v>1938.96</v>
      </c>
      <c r="W24" s="158">
        <v>21310.46</v>
      </c>
      <c r="X24" s="329">
        <v>42412.36</v>
      </c>
      <c r="Y24" s="158">
        <v>21206.36</v>
      </c>
      <c r="Z24" s="158">
        <v>9693.42</v>
      </c>
      <c r="AA24" s="7">
        <v>0</v>
      </c>
      <c r="AB24" s="7"/>
      <c r="AC24" s="7"/>
      <c r="AD24" s="7"/>
      <c r="AE24" s="7"/>
      <c r="AF24" s="7"/>
      <c r="AG24" s="7"/>
      <c r="AH24" s="8"/>
      <c r="AK24" s="493" t="s">
        <v>330</v>
      </c>
      <c r="AL24" s="493"/>
      <c r="AM24" s="158">
        <f t="shared" ref="AM24:AR24" si="2">U24</f>
        <v>30406.51</v>
      </c>
      <c r="AN24" s="158">
        <f t="shared" si="2"/>
        <v>1938.96</v>
      </c>
      <c r="AO24" s="158">
        <f t="shared" si="2"/>
        <v>21310.46</v>
      </c>
      <c r="AP24" s="329">
        <f t="shared" si="2"/>
        <v>42412.36</v>
      </c>
      <c r="AQ24" s="158">
        <f t="shared" si="2"/>
        <v>21206.36</v>
      </c>
      <c r="AR24" s="158">
        <f t="shared" si="2"/>
        <v>9693.42</v>
      </c>
      <c r="AS24" s="158">
        <v>0</v>
      </c>
      <c r="AT24" s="158"/>
      <c r="AU24" s="158"/>
      <c r="AV24" s="158"/>
      <c r="AW24" s="158"/>
      <c r="AX24" s="158"/>
      <c r="AY24" s="158"/>
      <c r="AZ24" s="559"/>
    </row>
    <row r="25" spans="1:52" x14ac:dyDescent="0.25">
      <c r="A25" s="493" t="s">
        <v>302</v>
      </c>
      <c r="B25" s="493"/>
      <c r="C25" s="141">
        <v>12169</v>
      </c>
      <c r="D25" s="141">
        <v>7000</v>
      </c>
      <c r="E25" s="141">
        <v>0</v>
      </c>
      <c r="F25" s="141">
        <v>0</v>
      </c>
      <c r="G25" s="141">
        <v>3350</v>
      </c>
      <c r="H25" s="141">
        <v>0</v>
      </c>
      <c r="I25" s="141">
        <v>0</v>
      </c>
      <c r="J25" s="141"/>
      <c r="K25" s="141"/>
      <c r="L25" s="141"/>
      <c r="M25" s="141"/>
      <c r="N25" s="141"/>
      <c r="O25" s="141">
        <f>SUM(C25:N25)</f>
        <v>22519</v>
      </c>
      <c r="P25" s="549"/>
      <c r="S25" s="561" t="s">
        <v>331</v>
      </c>
      <c r="T25" s="561"/>
      <c r="U25" s="158">
        <v>955222</v>
      </c>
      <c r="V25" s="158">
        <v>1437181</v>
      </c>
      <c r="W25" s="158">
        <v>862933.26</v>
      </c>
      <c r="X25" s="158">
        <f>COMERCIAL!F29</f>
        <v>609527.94999999995</v>
      </c>
      <c r="Y25" s="158">
        <f>COMERCIAL!G29</f>
        <v>721968.48</v>
      </c>
      <c r="Z25" s="158">
        <f>COMERCIAL!H29</f>
        <v>524941.65</v>
      </c>
      <c r="AA25" s="158">
        <f>COMERCIAL!I29</f>
        <v>660030.42999999993</v>
      </c>
      <c r="AB25" s="7"/>
      <c r="AC25" s="7"/>
      <c r="AD25" s="7"/>
      <c r="AE25" s="7"/>
      <c r="AF25" s="7"/>
      <c r="AG25" s="3"/>
      <c r="AH25" s="3"/>
      <c r="AK25" s="561" t="s">
        <v>332</v>
      </c>
      <c r="AL25" s="561"/>
      <c r="AM25" s="7">
        <v>72897</v>
      </c>
      <c r="AN25" s="7">
        <v>61572</v>
      </c>
      <c r="AO25" s="7">
        <v>64537</v>
      </c>
      <c r="AP25" s="7">
        <v>69278</v>
      </c>
      <c r="AQ25" s="7">
        <v>57060</v>
      </c>
      <c r="AR25" s="7">
        <v>40445</v>
      </c>
      <c r="AS25" s="7">
        <v>0</v>
      </c>
      <c r="AT25" s="7"/>
      <c r="AU25" s="7"/>
      <c r="AV25" s="7"/>
      <c r="AW25" s="7"/>
      <c r="AX25" s="7"/>
      <c r="AY25" s="3"/>
      <c r="AZ25" s="560"/>
    </row>
    <row r="26" spans="1:52" x14ac:dyDescent="0.25">
      <c r="A26" s="2" t="s">
        <v>203</v>
      </c>
      <c r="B26" s="2"/>
      <c r="C26" s="41">
        <f>C25</f>
        <v>12169</v>
      </c>
      <c r="D26" s="41">
        <f>C26+D25</f>
        <v>19169</v>
      </c>
      <c r="E26" s="41">
        <f t="shared" ref="E26:N26" si="3">D26+E25</f>
        <v>19169</v>
      </c>
      <c r="F26" s="41">
        <f t="shared" si="3"/>
        <v>19169</v>
      </c>
      <c r="G26" s="41">
        <f t="shared" si="3"/>
        <v>22519</v>
      </c>
      <c r="H26" s="41">
        <f t="shared" si="3"/>
        <v>22519</v>
      </c>
      <c r="I26" s="41">
        <f t="shared" si="3"/>
        <v>22519</v>
      </c>
      <c r="J26" s="41">
        <f t="shared" si="3"/>
        <v>22519</v>
      </c>
      <c r="K26" s="41">
        <f t="shared" si="3"/>
        <v>22519</v>
      </c>
      <c r="L26" s="41">
        <f t="shared" si="3"/>
        <v>22519</v>
      </c>
      <c r="M26" s="41">
        <f t="shared" si="3"/>
        <v>22519</v>
      </c>
      <c r="N26" s="41">
        <f t="shared" si="3"/>
        <v>22519</v>
      </c>
      <c r="O26" s="41"/>
      <c r="P26" s="550"/>
    </row>
    <row r="27" spans="1:52" x14ac:dyDescent="0.25">
      <c r="A27" s="129" t="s">
        <v>204</v>
      </c>
      <c r="B27" s="129"/>
      <c r="C27" s="27">
        <f>C26/B23</f>
        <v>4.8583690987124464E-2</v>
      </c>
      <c r="D27" s="27">
        <f t="shared" ref="D27" si="4">D26/C23</f>
        <v>7.6530591875436677E-2</v>
      </c>
      <c r="E27" s="27"/>
      <c r="F27" s="27"/>
      <c r="G27" s="16"/>
      <c r="H27" s="16"/>
      <c r="I27" s="16"/>
      <c r="J27" s="16"/>
      <c r="K27" s="16"/>
      <c r="L27" s="16"/>
      <c r="M27" s="16"/>
      <c r="N27" s="16"/>
      <c r="O27" s="16"/>
      <c r="P27" s="17"/>
    </row>
    <row r="28" spans="1:52" ht="15" customHeight="1" x14ac:dyDescent="0.25">
      <c r="A28" s="563" t="s">
        <v>127</v>
      </c>
      <c r="B28" s="13"/>
      <c r="C28" s="562" t="s">
        <v>333</v>
      </c>
      <c r="D28" s="562" t="s">
        <v>334</v>
      </c>
      <c r="E28" s="354"/>
      <c r="F28" s="354"/>
      <c r="G28" s="562" t="s">
        <v>335</v>
      </c>
      <c r="H28" s="1"/>
      <c r="I28" s="1"/>
      <c r="J28" s="1"/>
      <c r="K28" s="1"/>
      <c r="L28" s="1"/>
      <c r="M28" s="1"/>
      <c r="N28" s="1"/>
    </row>
    <row r="29" spans="1:52" x14ac:dyDescent="0.25">
      <c r="A29" s="563"/>
      <c r="C29" s="562"/>
      <c r="D29" s="562"/>
      <c r="E29" s="354"/>
      <c r="F29" s="354"/>
      <c r="G29" s="562"/>
      <c r="H29" s="1"/>
      <c r="I29" s="1"/>
      <c r="J29" s="1"/>
      <c r="K29" s="1"/>
      <c r="L29" s="1"/>
      <c r="M29" s="1"/>
      <c r="N29" s="1"/>
    </row>
    <row r="30" spans="1:52" x14ac:dyDescent="0.25">
      <c r="A30" s="563"/>
      <c r="C30" s="562"/>
      <c r="D30" s="562"/>
      <c r="E30" s="354"/>
      <c r="F30" s="354"/>
      <c r="G30" s="562"/>
      <c r="H30" s="1"/>
      <c r="I30" s="1"/>
      <c r="J30" s="1"/>
      <c r="K30" s="1"/>
      <c r="L30" s="1"/>
      <c r="M30" s="1"/>
      <c r="N30" s="1"/>
    </row>
    <row r="31" spans="1:52" x14ac:dyDescent="0.25">
      <c r="A31" s="563"/>
      <c r="C31" s="562"/>
      <c r="D31" s="562"/>
      <c r="E31" s="354"/>
      <c r="F31" s="354"/>
      <c r="G31" s="562"/>
      <c r="H31" s="1"/>
      <c r="I31" s="1"/>
      <c r="J31" s="1"/>
      <c r="K31" s="1"/>
      <c r="L31" s="1"/>
      <c r="M31" s="1"/>
      <c r="N31" s="1"/>
    </row>
    <row r="32" spans="1:52" x14ac:dyDescent="0.25">
      <c r="A32" s="563"/>
      <c r="C32" s="562"/>
      <c r="D32" s="562"/>
      <c r="E32" s="354"/>
      <c r="F32" s="354"/>
      <c r="G32" s="562"/>
      <c r="H32" s="1"/>
      <c r="I32" s="1"/>
      <c r="J32" s="1"/>
      <c r="K32" s="1"/>
      <c r="L32" s="1"/>
      <c r="M32" s="1"/>
      <c r="N32" s="1"/>
    </row>
    <row r="33" spans="1:7" x14ac:dyDescent="0.25">
      <c r="A33" s="563"/>
      <c r="C33" s="562"/>
      <c r="D33" s="562"/>
      <c r="E33" s="355"/>
      <c r="F33" s="355"/>
      <c r="G33" s="562"/>
    </row>
    <row r="34" spans="1:7" x14ac:dyDescent="0.25">
      <c r="A34" s="563"/>
      <c r="C34" s="562"/>
      <c r="D34" s="562"/>
      <c r="E34" s="355"/>
      <c r="F34" s="355"/>
      <c r="G34" s="562"/>
    </row>
    <row r="35" spans="1:7" x14ac:dyDescent="0.25">
      <c r="A35" s="563"/>
      <c r="C35" s="562"/>
      <c r="D35" s="562"/>
      <c r="E35" s="355"/>
      <c r="F35" s="355"/>
      <c r="G35" s="562"/>
    </row>
    <row r="36" spans="1:7" x14ac:dyDescent="0.25">
      <c r="A36" s="563"/>
    </row>
  </sheetData>
  <mergeCells count="17">
    <mergeCell ref="D28:D35"/>
    <mergeCell ref="C28:C35"/>
    <mergeCell ref="G28:G35"/>
    <mergeCell ref="A28:A36"/>
    <mergeCell ref="A22:B22"/>
    <mergeCell ref="A24:B24"/>
    <mergeCell ref="A25:B25"/>
    <mergeCell ref="S21:T21"/>
    <mergeCell ref="S24:T24"/>
    <mergeCell ref="S25:T25"/>
    <mergeCell ref="S23:T23"/>
    <mergeCell ref="P24:P26"/>
    <mergeCell ref="AZ22:AZ25"/>
    <mergeCell ref="AK21:AL21"/>
    <mergeCell ref="AK23:AL23"/>
    <mergeCell ref="AK24:AL24"/>
    <mergeCell ref="AK25:AL25"/>
  </mergeCells>
  <printOptions horizontalCentered="1" verticalCentered="1"/>
  <pageMargins left="0.11811023622047245" right="0.11811023622047245" top="0.78740157480314965" bottom="0.78740157480314965" header="0.31496062992125984" footer="0.31496062992125984"/>
  <pageSetup paperSize="9" scale="29" orientation="landscape" horizontalDpi="203" verticalDpi="20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E467A-B0F9-4354-96E1-B5F8D0789EFB}">
  <sheetPr>
    <pageSetUpPr fitToPage="1"/>
  </sheetPr>
  <dimension ref="A22:Q139"/>
  <sheetViews>
    <sheetView showGridLines="0" topLeftCell="A37" workbookViewId="0">
      <selection activeCell="I55" sqref="I55"/>
    </sheetView>
  </sheetViews>
  <sheetFormatPr defaultRowHeight="15" x14ac:dyDescent="0.25"/>
  <cols>
    <col min="1" max="1" width="11.28515625" bestFit="1" customWidth="1"/>
    <col min="2" max="2" width="11.28515625" customWidth="1"/>
    <col min="3" max="14" width="10.140625" bestFit="1" customWidth="1"/>
    <col min="16" max="16" width="7.140625" bestFit="1" customWidth="1"/>
  </cols>
  <sheetData>
    <row r="22" spans="1:16" x14ac:dyDescent="0.25">
      <c r="A22" s="493" t="s">
        <v>95</v>
      </c>
      <c r="B22" s="493"/>
      <c r="C22" s="3" t="s">
        <v>97</v>
      </c>
      <c r="D22" s="3" t="s">
        <v>98</v>
      </c>
      <c r="E22" s="3" t="s">
        <v>99</v>
      </c>
      <c r="F22" s="3" t="s">
        <v>100</v>
      </c>
      <c r="G22" s="3" t="s">
        <v>101</v>
      </c>
      <c r="H22" s="3" t="s">
        <v>102</v>
      </c>
      <c r="I22" s="3" t="s">
        <v>103</v>
      </c>
      <c r="J22" s="3" t="s">
        <v>104</v>
      </c>
      <c r="K22" s="3" t="s">
        <v>105</v>
      </c>
      <c r="L22" s="3" t="s">
        <v>106</v>
      </c>
      <c r="M22" s="3" t="s">
        <v>107</v>
      </c>
      <c r="N22" s="3" t="s">
        <v>108</v>
      </c>
      <c r="O22" s="3" t="s">
        <v>200</v>
      </c>
      <c r="P22" s="3" t="s">
        <v>110</v>
      </c>
    </row>
    <row r="23" spans="1:16" x14ac:dyDescent="0.25">
      <c r="A23" s="20" t="s">
        <v>178</v>
      </c>
      <c r="B23" s="99">
        <f>[2]Resultados!$C$100</f>
        <v>402391</v>
      </c>
      <c r="C23" s="24">
        <f>[2]Resultados!$C$100</f>
        <v>402391</v>
      </c>
      <c r="D23" s="24">
        <f>[2]Resultados!$C$100</f>
        <v>402391</v>
      </c>
      <c r="E23" s="24">
        <f>[2]Resultados!$C$100</f>
        <v>402391</v>
      </c>
      <c r="F23" s="24">
        <f>[2]Resultados!$C$100</f>
        <v>402391</v>
      </c>
      <c r="G23" s="24">
        <f>[2]Resultados!$C$100</f>
        <v>402391</v>
      </c>
      <c r="H23" s="24">
        <f>[2]Resultados!$C$100</f>
        <v>402391</v>
      </c>
      <c r="I23" s="24">
        <f>[2]Resultados!$C$100</f>
        <v>402391</v>
      </c>
      <c r="J23" s="24">
        <f>[2]Resultados!$C$100</f>
        <v>402391</v>
      </c>
      <c r="K23" s="24">
        <f>[2]Resultados!$C$100</f>
        <v>402391</v>
      </c>
      <c r="L23" s="24">
        <f>[2]Resultados!$C$100</f>
        <v>402391</v>
      </c>
      <c r="M23" s="24">
        <f>[2]Resultados!$C$100</f>
        <v>402391</v>
      </c>
      <c r="N23" s="24">
        <f>[2]Resultados!$C$100</f>
        <v>402391</v>
      </c>
      <c r="O23" s="25"/>
      <c r="P23" s="18"/>
    </row>
    <row r="24" spans="1:16" x14ac:dyDescent="0.25">
      <c r="A24" s="493" t="s">
        <v>302</v>
      </c>
      <c r="B24" s="493"/>
      <c r="C24" s="41">
        <v>3354.75</v>
      </c>
      <c r="D24" s="41">
        <v>3354.75</v>
      </c>
      <c r="E24" s="41">
        <v>3354.75</v>
      </c>
      <c r="F24" s="41">
        <v>3354.75</v>
      </c>
      <c r="G24" s="41"/>
      <c r="H24" s="41"/>
      <c r="I24" s="41"/>
      <c r="J24" s="41"/>
      <c r="K24" s="41"/>
      <c r="L24" s="41"/>
      <c r="M24" s="41"/>
      <c r="N24" s="41"/>
      <c r="O24" s="41">
        <f>SUM(C24:N24)</f>
        <v>13419</v>
      </c>
      <c r="P24" s="5">
        <f>(O24/B23)*100</f>
        <v>3.3348161365438092</v>
      </c>
    </row>
    <row r="25" spans="1:16" x14ac:dyDescent="0.25">
      <c r="A25" s="493" t="s">
        <v>203</v>
      </c>
      <c r="B25" s="493"/>
      <c r="C25" s="41">
        <f>C24</f>
        <v>3354.75</v>
      </c>
      <c r="D25" s="41">
        <f>C25+D24</f>
        <v>6709.5</v>
      </c>
      <c r="E25" s="41">
        <f t="shared" ref="E25:F25" si="0">D25+E24</f>
        <v>10064.25</v>
      </c>
      <c r="F25" s="41">
        <f t="shared" si="0"/>
        <v>13419</v>
      </c>
      <c r="G25" s="41"/>
      <c r="H25" s="41"/>
      <c r="I25" s="41"/>
      <c r="J25" s="41"/>
      <c r="K25" s="41"/>
      <c r="L25" s="41"/>
      <c r="M25" s="41"/>
      <c r="N25" s="41"/>
      <c r="O25" s="41"/>
      <c r="P25" s="5"/>
    </row>
    <row r="26" spans="1:16" x14ac:dyDescent="0.25">
      <c r="A26" s="511" t="s">
        <v>204</v>
      </c>
      <c r="B26" s="511"/>
      <c r="C26" s="22">
        <f>(C25/C23)*100</f>
        <v>0.83370403413595229</v>
      </c>
      <c r="D26" s="22">
        <f t="shared" ref="D26:F26" si="1">(D25/D23)*100</f>
        <v>1.6674080682719046</v>
      </c>
      <c r="E26" s="22">
        <f t="shared" si="1"/>
        <v>2.5011121024078569</v>
      </c>
      <c r="F26" s="22">
        <f t="shared" si="1"/>
        <v>3.3348161365438092</v>
      </c>
      <c r="G26" s="16"/>
      <c r="H26" s="16"/>
      <c r="I26" s="16"/>
      <c r="J26" s="16"/>
      <c r="K26" s="16"/>
      <c r="L26" s="16"/>
      <c r="M26" s="16"/>
      <c r="N26" s="16"/>
      <c r="O26" s="16"/>
      <c r="P26" s="17"/>
    </row>
    <row r="27" spans="1:16" ht="15" customHeight="1" x14ac:dyDescent="0.25">
      <c r="A27" s="494" t="s">
        <v>127</v>
      </c>
      <c r="B27" s="494"/>
      <c r="C27" s="542" t="s">
        <v>336</v>
      </c>
      <c r="D27" s="542" t="s">
        <v>337</v>
      </c>
      <c r="E27" s="542" t="s">
        <v>338</v>
      </c>
      <c r="F27" s="542" t="s">
        <v>339</v>
      </c>
      <c r="G27" s="1"/>
      <c r="H27" s="1"/>
      <c r="I27" s="1"/>
      <c r="J27" s="1"/>
      <c r="K27" s="1"/>
      <c r="L27" s="1"/>
      <c r="M27" s="1"/>
      <c r="N27" s="1"/>
    </row>
    <row r="28" spans="1:16" x14ac:dyDescent="0.25">
      <c r="A28" s="13"/>
      <c r="B28" s="13"/>
      <c r="C28" s="542"/>
      <c r="D28" s="542"/>
      <c r="E28" s="542"/>
      <c r="F28" s="542"/>
      <c r="G28" s="1"/>
      <c r="H28" s="1"/>
      <c r="I28" s="1"/>
      <c r="J28" s="1"/>
      <c r="K28" s="1"/>
      <c r="L28" s="1"/>
      <c r="M28" s="1"/>
      <c r="N28" s="1"/>
    </row>
    <row r="29" spans="1:16" x14ac:dyDescent="0.25">
      <c r="A29" s="13"/>
      <c r="B29" s="13"/>
      <c r="C29" s="542"/>
      <c r="D29" s="542"/>
      <c r="E29" s="542"/>
      <c r="F29" s="542"/>
      <c r="G29" s="1"/>
      <c r="H29" s="1"/>
      <c r="I29" s="1"/>
      <c r="J29" s="1"/>
      <c r="K29" s="1"/>
      <c r="L29" s="1"/>
      <c r="M29" s="1"/>
      <c r="N29" s="1"/>
    </row>
    <row r="30" spans="1:16" x14ac:dyDescent="0.25">
      <c r="A30" s="13"/>
      <c r="B30" s="13"/>
      <c r="C30" s="542"/>
      <c r="D30" s="542"/>
      <c r="E30" s="542"/>
      <c r="F30" s="542"/>
      <c r="G30" s="1"/>
      <c r="H30" s="1"/>
      <c r="I30" s="1"/>
      <c r="J30" s="1"/>
      <c r="K30" s="1"/>
      <c r="L30" s="1"/>
      <c r="M30" s="1"/>
      <c r="N30" s="1"/>
    </row>
    <row r="31" spans="1:16" x14ac:dyDescent="0.25">
      <c r="A31" s="13"/>
      <c r="B31" s="13"/>
      <c r="C31" s="542"/>
      <c r="D31" s="542"/>
      <c r="E31" s="542"/>
      <c r="F31" s="542"/>
      <c r="G31" s="1"/>
      <c r="H31" s="1"/>
      <c r="I31" s="1"/>
      <c r="J31" s="1"/>
      <c r="K31" s="1"/>
      <c r="L31" s="1"/>
      <c r="M31" s="1"/>
      <c r="N31" s="1"/>
    </row>
    <row r="32" spans="1:16" x14ac:dyDescent="0.25">
      <c r="A32" s="13"/>
      <c r="B32" s="13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3:14" x14ac:dyDescent="0.2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3:14" x14ac:dyDescent="0.2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3:14" x14ac:dyDescent="0.2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3:14" x14ac:dyDescent="0.2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3:14" x14ac:dyDescent="0.2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52" spans="1:16" x14ac:dyDescent="0.25">
      <c r="A52" s="493" t="s">
        <v>95</v>
      </c>
      <c r="B52" s="493"/>
      <c r="C52" s="3" t="s">
        <v>97</v>
      </c>
      <c r="D52" s="3" t="s">
        <v>98</v>
      </c>
      <c r="E52" s="3" t="s">
        <v>99</v>
      </c>
      <c r="F52" s="3" t="s">
        <v>100</v>
      </c>
      <c r="G52" s="3" t="s">
        <v>101</v>
      </c>
      <c r="H52" s="3" t="s">
        <v>102</v>
      </c>
      <c r="I52" s="3" t="s">
        <v>103</v>
      </c>
      <c r="J52" s="3" t="s">
        <v>104</v>
      </c>
      <c r="K52" s="3" t="s">
        <v>105</v>
      </c>
      <c r="L52" s="3" t="s">
        <v>106</v>
      </c>
      <c r="M52" s="3" t="s">
        <v>107</v>
      </c>
      <c r="N52" s="3" t="s">
        <v>108</v>
      </c>
      <c r="O52" s="3" t="s">
        <v>340</v>
      </c>
      <c r="P52" s="3" t="s">
        <v>110</v>
      </c>
    </row>
    <row r="53" spans="1:16" x14ac:dyDescent="0.25">
      <c r="A53" s="20" t="s">
        <v>178</v>
      </c>
      <c r="B53" s="99">
        <v>0.38</v>
      </c>
      <c r="C53" s="24">
        <v>0.38</v>
      </c>
      <c r="D53" s="24">
        <v>0.38</v>
      </c>
      <c r="E53" s="24">
        <v>0.38</v>
      </c>
      <c r="F53" s="24">
        <v>0.38</v>
      </c>
      <c r="G53" s="24">
        <v>0.38</v>
      </c>
      <c r="H53" s="24">
        <v>0.38</v>
      </c>
      <c r="I53" s="24">
        <v>0.38</v>
      </c>
      <c r="J53" s="24">
        <v>0.38</v>
      </c>
      <c r="K53" s="24">
        <v>0.38</v>
      </c>
      <c r="L53" s="24">
        <v>0.38</v>
      </c>
      <c r="M53" s="24">
        <v>0.38</v>
      </c>
      <c r="N53" s="24">
        <v>0.38</v>
      </c>
      <c r="O53" s="25"/>
      <c r="P53" s="18"/>
    </row>
    <row r="54" spans="1:16" x14ac:dyDescent="0.25">
      <c r="A54" s="493" t="s">
        <v>256</v>
      </c>
      <c r="B54" s="493"/>
      <c r="C54" s="41">
        <f>[4]Refugo!$E$7</f>
        <v>0.2949366914962207</v>
      </c>
      <c r="D54" s="41">
        <v>0.27</v>
      </c>
      <c r="E54" s="41">
        <v>0.5</v>
      </c>
      <c r="F54" s="41">
        <v>0.28000000000000003</v>
      </c>
      <c r="G54" s="41">
        <v>0.26</v>
      </c>
      <c r="H54" s="41">
        <v>0.48</v>
      </c>
      <c r="I54" s="41">
        <v>0</v>
      </c>
      <c r="J54" s="41"/>
      <c r="K54" s="41"/>
      <c r="L54" s="41"/>
      <c r="M54" s="41"/>
      <c r="N54" s="41"/>
      <c r="O54" s="41">
        <f>AVERAGE(C54:N54)</f>
        <v>0.29784809878517438</v>
      </c>
      <c r="P54" s="5">
        <f>(O54/B53)*100</f>
        <v>78.381078627677468</v>
      </c>
    </row>
    <row r="80" spans="1:16" x14ac:dyDescent="0.25">
      <c r="A80" s="493" t="s">
        <v>95</v>
      </c>
      <c r="B80" s="493"/>
      <c r="C80" s="3" t="s">
        <v>97</v>
      </c>
      <c r="D80" s="3" t="s">
        <v>98</v>
      </c>
      <c r="E80" s="3" t="s">
        <v>99</v>
      </c>
      <c r="F80" s="3" t="s">
        <v>100</v>
      </c>
      <c r="G80" s="3" t="s">
        <v>101</v>
      </c>
      <c r="H80" s="3" t="s">
        <v>102</v>
      </c>
      <c r="I80" s="3" t="s">
        <v>103</v>
      </c>
      <c r="J80" s="3" t="s">
        <v>104</v>
      </c>
      <c r="K80" s="3" t="s">
        <v>105</v>
      </c>
      <c r="L80" s="3" t="s">
        <v>106</v>
      </c>
      <c r="M80" s="3" t="s">
        <v>107</v>
      </c>
      <c r="N80" s="3" t="s">
        <v>108</v>
      </c>
      <c r="O80" s="3" t="s">
        <v>340</v>
      </c>
      <c r="P80" s="3" t="s">
        <v>110</v>
      </c>
    </row>
    <row r="81" spans="1:16" x14ac:dyDescent="0.25">
      <c r="A81" s="20" t="s">
        <v>178</v>
      </c>
      <c r="B81" s="99">
        <v>90</v>
      </c>
      <c r="C81" s="24">
        <v>90</v>
      </c>
      <c r="D81" s="24">
        <v>90</v>
      </c>
      <c r="E81" s="24">
        <v>90</v>
      </c>
      <c r="F81" s="24">
        <v>90</v>
      </c>
      <c r="G81" s="24">
        <v>90</v>
      </c>
      <c r="H81" s="24">
        <v>90</v>
      </c>
      <c r="I81" s="24">
        <v>90</v>
      </c>
      <c r="J81" s="24">
        <v>90</v>
      </c>
      <c r="K81" s="24">
        <v>90</v>
      </c>
      <c r="L81" s="24">
        <v>90</v>
      </c>
      <c r="M81" s="24">
        <v>90</v>
      </c>
      <c r="N81" s="24">
        <v>90</v>
      </c>
      <c r="O81" s="25"/>
      <c r="P81" s="18"/>
    </row>
    <row r="82" spans="1:16" x14ac:dyDescent="0.25">
      <c r="A82" s="493" t="s">
        <v>256</v>
      </c>
      <c r="B82" s="493"/>
      <c r="C82" s="41">
        <v>87.69</v>
      </c>
      <c r="D82" s="41">
        <v>87.69</v>
      </c>
      <c r="E82" s="41">
        <v>87.69</v>
      </c>
      <c r="F82" s="41">
        <v>94.95</v>
      </c>
      <c r="G82" s="41">
        <f>F82</f>
        <v>94.95</v>
      </c>
      <c r="H82" s="41">
        <f t="shared" ref="H82:I82" si="2">G82</f>
        <v>94.95</v>
      </c>
      <c r="I82" s="41">
        <f t="shared" si="2"/>
        <v>94.95</v>
      </c>
      <c r="J82" s="41"/>
      <c r="K82" s="41"/>
      <c r="L82" s="41"/>
      <c r="M82" s="41"/>
      <c r="N82" s="41"/>
      <c r="O82" s="41">
        <f>AVERAGE(C82:N82)</f>
        <v>91.838571428571427</v>
      </c>
      <c r="P82" s="5">
        <f>(O82/B81)*100</f>
        <v>102.04285714285714</v>
      </c>
    </row>
    <row r="104" spans="1:17" x14ac:dyDescent="0.25">
      <c r="A104" s="472" t="s">
        <v>6</v>
      </c>
      <c r="B104" s="472"/>
      <c r="C104" s="222"/>
      <c r="D104" s="472" t="s">
        <v>7</v>
      </c>
      <c r="E104" s="472"/>
      <c r="F104" s="222"/>
      <c r="G104" s="472" t="s">
        <v>8</v>
      </c>
      <c r="H104" s="472"/>
      <c r="I104" s="222"/>
      <c r="J104" s="472" t="s">
        <v>9</v>
      </c>
      <c r="K104" s="472"/>
    </row>
    <row r="105" spans="1:17" x14ac:dyDescent="0.25">
      <c r="A105" t="s">
        <v>341</v>
      </c>
      <c r="B105">
        <v>802</v>
      </c>
      <c r="D105" s="13" t="s">
        <v>342</v>
      </c>
      <c r="E105" s="16">
        <v>220</v>
      </c>
      <c r="G105" t="s">
        <v>342</v>
      </c>
      <c r="H105">
        <v>540</v>
      </c>
      <c r="J105" t="s">
        <v>343</v>
      </c>
      <c r="K105">
        <v>282</v>
      </c>
      <c r="O105" s="16"/>
      <c r="P105" s="16"/>
      <c r="Q105" s="16"/>
    </row>
    <row r="106" spans="1:17" x14ac:dyDescent="0.25">
      <c r="A106" t="s">
        <v>344</v>
      </c>
      <c r="B106">
        <v>2577</v>
      </c>
      <c r="D106" s="13" t="s">
        <v>344</v>
      </c>
      <c r="E106" s="16">
        <v>5658</v>
      </c>
      <c r="G106" t="s">
        <v>341</v>
      </c>
      <c r="H106">
        <v>956</v>
      </c>
      <c r="J106" t="s">
        <v>345</v>
      </c>
      <c r="K106">
        <v>560</v>
      </c>
      <c r="O106" s="16"/>
      <c r="P106" s="16"/>
      <c r="Q106" s="16"/>
    </row>
    <row r="107" spans="1:17" x14ac:dyDescent="0.25">
      <c r="A107" t="s">
        <v>346</v>
      </c>
      <c r="B107">
        <v>5114</v>
      </c>
      <c r="D107" s="13" t="s">
        <v>346</v>
      </c>
      <c r="E107" s="16">
        <v>7748</v>
      </c>
      <c r="G107" t="s">
        <v>347</v>
      </c>
      <c r="H107">
        <v>550</v>
      </c>
      <c r="J107" t="s">
        <v>348</v>
      </c>
      <c r="K107">
        <v>910</v>
      </c>
      <c r="O107" s="16"/>
      <c r="P107" s="16"/>
      <c r="Q107" s="16"/>
    </row>
    <row r="108" spans="1:17" x14ac:dyDescent="0.25">
      <c r="A108" t="s">
        <v>349</v>
      </c>
      <c r="B108">
        <v>3684</v>
      </c>
      <c r="D108" s="13" t="s">
        <v>350</v>
      </c>
      <c r="E108" s="16">
        <v>1112</v>
      </c>
      <c r="G108" t="s">
        <v>351</v>
      </c>
      <c r="H108">
        <v>591</v>
      </c>
      <c r="J108" t="s">
        <v>352</v>
      </c>
      <c r="K108">
        <v>394</v>
      </c>
      <c r="O108" s="16"/>
      <c r="P108" s="16"/>
      <c r="Q108" s="16"/>
    </row>
    <row r="109" spans="1:17" x14ac:dyDescent="0.25">
      <c r="A109" t="s">
        <v>350</v>
      </c>
      <c r="B109">
        <v>1644</v>
      </c>
      <c r="D109" s="13" t="s">
        <v>353</v>
      </c>
      <c r="E109" s="16">
        <v>856</v>
      </c>
      <c r="G109" t="s">
        <v>354</v>
      </c>
      <c r="H109">
        <v>2643</v>
      </c>
      <c r="J109" t="s">
        <v>355</v>
      </c>
      <c r="K109">
        <v>318</v>
      </c>
      <c r="O109" s="16"/>
      <c r="P109" s="16"/>
      <c r="Q109" s="16"/>
    </row>
    <row r="110" spans="1:17" x14ac:dyDescent="0.25">
      <c r="A110" t="s">
        <v>353</v>
      </c>
      <c r="B110">
        <v>920</v>
      </c>
      <c r="D110" s="13" t="s">
        <v>356</v>
      </c>
      <c r="E110" s="16">
        <v>4496</v>
      </c>
      <c r="G110" t="s">
        <v>344</v>
      </c>
      <c r="H110">
        <v>3168</v>
      </c>
      <c r="J110" t="s">
        <v>357</v>
      </c>
      <c r="K110">
        <v>702</v>
      </c>
      <c r="O110" s="16"/>
      <c r="P110" s="16"/>
      <c r="Q110" s="16"/>
    </row>
    <row r="111" spans="1:17" x14ac:dyDescent="0.25">
      <c r="A111" t="s">
        <v>356</v>
      </c>
      <c r="B111">
        <v>3108</v>
      </c>
      <c r="D111" s="13" t="s">
        <v>358</v>
      </c>
      <c r="E111" s="16">
        <v>2046</v>
      </c>
      <c r="G111" t="s">
        <v>359</v>
      </c>
      <c r="H111">
        <v>647</v>
      </c>
      <c r="J111" t="s">
        <v>360</v>
      </c>
      <c r="K111">
        <v>104</v>
      </c>
      <c r="O111" s="16"/>
      <c r="P111" s="16"/>
      <c r="Q111" s="16"/>
    </row>
    <row r="112" spans="1:17" x14ac:dyDescent="0.25">
      <c r="A112" t="s">
        <v>358</v>
      </c>
      <c r="B112">
        <v>4412</v>
      </c>
      <c r="D112" s="13" t="s">
        <v>361</v>
      </c>
      <c r="E112" s="16">
        <v>1322</v>
      </c>
      <c r="G112" t="s">
        <v>346</v>
      </c>
      <c r="H112">
        <v>7508</v>
      </c>
      <c r="J112" t="s">
        <v>344</v>
      </c>
      <c r="K112">
        <v>6167</v>
      </c>
      <c r="O112" s="16"/>
      <c r="P112" s="16"/>
      <c r="Q112" s="16"/>
    </row>
    <row r="113" spans="1:17" x14ac:dyDescent="0.25">
      <c r="A113" t="s">
        <v>362</v>
      </c>
      <c r="B113">
        <v>878</v>
      </c>
      <c r="D113" s="321" t="s">
        <v>363</v>
      </c>
      <c r="E113" s="322">
        <v>398</v>
      </c>
      <c r="G113" t="s">
        <v>350</v>
      </c>
      <c r="H113">
        <v>630</v>
      </c>
      <c r="J113" t="s">
        <v>346</v>
      </c>
      <c r="K113">
        <v>8516</v>
      </c>
      <c r="O113" s="16"/>
      <c r="P113" s="16"/>
      <c r="Q113" s="16"/>
    </row>
    <row r="114" spans="1:17" x14ac:dyDescent="0.25">
      <c r="A114" t="s">
        <v>361</v>
      </c>
      <c r="B114">
        <v>2122</v>
      </c>
      <c r="D114" s="13" t="s">
        <v>364</v>
      </c>
      <c r="E114" s="16">
        <v>750</v>
      </c>
      <c r="G114" t="s">
        <v>353</v>
      </c>
      <c r="H114">
        <v>1430</v>
      </c>
      <c r="J114" t="s">
        <v>350</v>
      </c>
      <c r="K114">
        <v>1172</v>
      </c>
      <c r="O114" s="16"/>
      <c r="P114" s="16"/>
      <c r="Q114" s="16"/>
    </row>
    <row r="115" spans="1:17" x14ac:dyDescent="0.25">
      <c r="A115" t="s">
        <v>363</v>
      </c>
      <c r="B115">
        <v>690</v>
      </c>
      <c r="D115" s="13" t="s">
        <v>365</v>
      </c>
      <c r="E115" s="16">
        <v>3918</v>
      </c>
      <c r="G115" t="s">
        <v>362</v>
      </c>
      <c r="H115">
        <v>686</v>
      </c>
      <c r="J115" t="s">
        <v>353</v>
      </c>
      <c r="K115">
        <v>3334</v>
      </c>
      <c r="O115" s="16"/>
      <c r="P115" s="16"/>
      <c r="Q115" s="16"/>
    </row>
    <row r="116" spans="1:17" x14ac:dyDescent="0.25">
      <c r="A116" t="s">
        <v>365</v>
      </c>
      <c r="B116">
        <v>6998</v>
      </c>
      <c r="D116" s="13" t="s">
        <v>366</v>
      </c>
      <c r="E116" s="16">
        <v>532</v>
      </c>
      <c r="G116" t="s">
        <v>361</v>
      </c>
      <c r="H116">
        <v>776</v>
      </c>
      <c r="J116" t="s">
        <v>367</v>
      </c>
      <c r="K116">
        <v>0</v>
      </c>
      <c r="O116" s="16"/>
      <c r="P116" s="16"/>
      <c r="Q116" s="16"/>
    </row>
    <row r="117" spans="1:17" x14ac:dyDescent="0.25">
      <c r="A117" t="s">
        <v>366</v>
      </c>
      <c r="B117">
        <v>1256</v>
      </c>
      <c r="D117" s="13" t="s">
        <v>368</v>
      </c>
      <c r="E117" s="16">
        <v>2344</v>
      </c>
      <c r="G117" t="s">
        <v>363</v>
      </c>
      <c r="H117">
        <v>1188</v>
      </c>
      <c r="J117" t="s">
        <v>361</v>
      </c>
      <c r="K117">
        <v>2676</v>
      </c>
      <c r="O117" s="16"/>
      <c r="P117" s="16"/>
      <c r="Q117" s="16"/>
    </row>
    <row r="118" spans="1:17" x14ac:dyDescent="0.25">
      <c r="A118" t="s">
        <v>368</v>
      </c>
      <c r="B118">
        <v>1756</v>
      </c>
      <c r="D118" s="13" t="s">
        <v>369</v>
      </c>
      <c r="E118" s="16">
        <v>250</v>
      </c>
      <c r="G118" t="s">
        <v>365</v>
      </c>
      <c r="H118">
        <v>6542</v>
      </c>
      <c r="J118" t="s">
        <v>365</v>
      </c>
      <c r="K118">
        <v>4780</v>
      </c>
      <c r="O118" s="16"/>
      <c r="P118" s="16"/>
      <c r="Q118" s="16"/>
    </row>
    <row r="119" spans="1:17" x14ac:dyDescent="0.25">
      <c r="A119" t="s">
        <v>370</v>
      </c>
      <c r="B119">
        <v>13770</v>
      </c>
      <c r="D119" s="13" t="s">
        <v>370</v>
      </c>
      <c r="E119" s="16">
        <v>5866</v>
      </c>
      <c r="G119" t="s">
        <v>366</v>
      </c>
      <c r="H119">
        <v>1934</v>
      </c>
      <c r="J119" t="s">
        <v>366</v>
      </c>
      <c r="K119">
        <v>2118</v>
      </c>
      <c r="O119" s="16"/>
      <c r="P119" s="16"/>
      <c r="Q119" s="16"/>
    </row>
    <row r="120" spans="1:17" x14ac:dyDescent="0.25">
      <c r="A120" t="s">
        <v>371</v>
      </c>
      <c r="B120">
        <v>772</v>
      </c>
      <c r="D120" s="13" t="s">
        <v>371</v>
      </c>
      <c r="E120" s="16">
        <v>644</v>
      </c>
      <c r="G120" t="s">
        <v>368</v>
      </c>
      <c r="H120">
        <v>2112</v>
      </c>
      <c r="J120" t="s">
        <v>368</v>
      </c>
      <c r="K120">
        <v>996</v>
      </c>
      <c r="O120" s="16"/>
      <c r="P120" s="16"/>
      <c r="Q120" s="16"/>
    </row>
    <row r="121" spans="1:17" x14ac:dyDescent="0.25">
      <c r="A121" t="s">
        <v>372</v>
      </c>
      <c r="B121">
        <v>1950</v>
      </c>
      <c r="D121" s="13" t="s">
        <v>372</v>
      </c>
      <c r="E121" s="16">
        <v>1558</v>
      </c>
      <c r="G121" t="s">
        <v>370</v>
      </c>
      <c r="H121">
        <v>8278</v>
      </c>
      <c r="J121" t="s">
        <v>370</v>
      </c>
      <c r="K121">
        <v>14916</v>
      </c>
      <c r="O121" s="16"/>
      <c r="P121" s="16"/>
      <c r="Q121" s="16"/>
    </row>
    <row r="122" spans="1:17" x14ac:dyDescent="0.25">
      <c r="A122" t="s">
        <v>373</v>
      </c>
      <c r="B122">
        <v>664</v>
      </c>
      <c r="D122" s="13" t="s">
        <v>374</v>
      </c>
      <c r="E122" s="16">
        <v>4996</v>
      </c>
      <c r="G122" t="s">
        <v>371</v>
      </c>
      <c r="H122">
        <v>1762</v>
      </c>
      <c r="J122" t="s">
        <v>371</v>
      </c>
      <c r="K122">
        <v>228</v>
      </c>
      <c r="O122" s="16"/>
      <c r="P122" s="16"/>
      <c r="Q122" s="16"/>
    </row>
    <row r="123" spans="1:17" x14ac:dyDescent="0.25">
      <c r="A123" t="s">
        <v>374</v>
      </c>
      <c r="B123">
        <v>4338</v>
      </c>
      <c r="D123" s="13" t="s">
        <v>375</v>
      </c>
      <c r="E123" s="16">
        <v>4636</v>
      </c>
      <c r="G123" t="s">
        <v>372</v>
      </c>
      <c r="H123">
        <v>2230</v>
      </c>
      <c r="J123" t="s">
        <v>372</v>
      </c>
      <c r="K123">
        <v>3040</v>
      </c>
      <c r="O123" s="16"/>
      <c r="P123" s="16"/>
      <c r="Q123" s="16"/>
    </row>
    <row r="124" spans="1:17" x14ac:dyDescent="0.25">
      <c r="A124" t="s">
        <v>375</v>
      </c>
      <c r="B124">
        <v>5572</v>
      </c>
      <c r="D124" s="13" t="s">
        <v>376</v>
      </c>
      <c r="E124" s="16">
        <v>6516</v>
      </c>
      <c r="G124" t="s">
        <v>377</v>
      </c>
      <c r="H124">
        <v>666</v>
      </c>
      <c r="J124" t="s">
        <v>378</v>
      </c>
      <c r="K124">
        <v>800</v>
      </c>
      <c r="O124" s="16"/>
      <c r="P124" s="16"/>
      <c r="Q124" s="16"/>
    </row>
    <row r="125" spans="1:17" x14ac:dyDescent="0.25">
      <c r="A125" t="s">
        <v>376</v>
      </c>
      <c r="B125">
        <v>3858</v>
      </c>
      <c r="D125" s="13" t="s">
        <v>379</v>
      </c>
      <c r="E125" s="16">
        <v>692</v>
      </c>
      <c r="G125" t="s">
        <v>373</v>
      </c>
      <c r="H125">
        <v>574</v>
      </c>
      <c r="J125" t="s">
        <v>374</v>
      </c>
      <c r="K125">
        <v>3656</v>
      </c>
      <c r="O125" s="16"/>
      <c r="P125" s="16"/>
      <c r="Q125" s="16"/>
    </row>
    <row r="126" spans="1:17" x14ac:dyDescent="0.25">
      <c r="A126" t="s">
        <v>380</v>
      </c>
      <c r="B126">
        <v>690</v>
      </c>
      <c r="D126" s="321" t="s">
        <v>381</v>
      </c>
      <c r="E126" s="322">
        <v>534</v>
      </c>
      <c r="G126" t="s">
        <v>374</v>
      </c>
      <c r="H126">
        <v>1785</v>
      </c>
      <c r="J126" t="s">
        <v>375</v>
      </c>
      <c r="K126">
        <v>1006</v>
      </c>
      <c r="O126" s="151"/>
      <c r="P126" s="151"/>
      <c r="Q126" s="151"/>
    </row>
    <row r="127" spans="1:17" x14ac:dyDescent="0.25">
      <c r="A127" t="s">
        <v>381</v>
      </c>
      <c r="B127">
        <v>1462</v>
      </c>
      <c r="D127" s="13" t="s">
        <v>382</v>
      </c>
      <c r="E127" s="16">
        <v>1536</v>
      </c>
      <c r="G127" t="s">
        <v>375</v>
      </c>
      <c r="H127">
        <v>1410</v>
      </c>
      <c r="J127" t="s">
        <v>383</v>
      </c>
      <c r="K127">
        <v>174</v>
      </c>
      <c r="O127" s="151"/>
      <c r="P127" s="151"/>
      <c r="Q127" s="151"/>
    </row>
    <row r="128" spans="1:17" x14ac:dyDescent="0.25">
      <c r="A128" t="s">
        <v>382</v>
      </c>
      <c r="B128">
        <v>1366</v>
      </c>
      <c r="D128" s="321" t="s">
        <v>384</v>
      </c>
      <c r="E128" s="322">
        <v>889</v>
      </c>
      <c r="G128" t="s">
        <v>385</v>
      </c>
      <c r="H128">
        <v>1201</v>
      </c>
      <c r="J128" t="s">
        <v>376</v>
      </c>
      <c r="K128">
        <v>5708</v>
      </c>
      <c r="O128" s="151"/>
      <c r="P128" s="151"/>
      <c r="Q128" s="151"/>
    </row>
    <row r="129" spans="1:17" x14ac:dyDescent="0.25">
      <c r="A129" t="s">
        <v>386</v>
      </c>
      <c r="B129">
        <v>1542</v>
      </c>
      <c r="D129" s="13" t="s">
        <v>387</v>
      </c>
      <c r="E129" s="16">
        <v>1557</v>
      </c>
      <c r="G129" t="s">
        <v>383</v>
      </c>
      <c r="H129">
        <v>1163</v>
      </c>
      <c r="J129" t="s">
        <v>381</v>
      </c>
      <c r="K129">
        <v>600</v>
      </c>
      <c r="O129" s="151"/>
      <c r="P129" s="151"/>
      <c r="Q129" s="151"/>
    </row>
    <row r="130" spans="1:17" x14ac:dyDescent="0.25">
      <c r="A130" t="s">
        <v>388</v>
      </c>
      <c r="B130">
        <v>952</v>
      </c>
      <c r="D130" s="13" t="s">
        <v>389</v>
      </c>
      <c r="E130" s="16">
        <v>498</v>
      </c>
      <c r="G130" t="s">
        <v>376</v>
      </c>
      <c r="H130">
        <v>3066</v>
      </c>
      <c r="J130" t="s">
        <v>382</v>
      </c>
      <c r="K130">
        <v>1287</v>
      </c>
      <c r="O130" s="16"/>
      <c r="P130" s="16"/>
      <c r="Q130" s="16"/>
    </row>
    <row r="131" spans="1:17" x14ac:dyDescent="0.25">
      <c r="B131" s="222">
        <f>SUM(B105:B130)</f>
        <v>72897</v>
      </c>
      <c r="E131" s="323">
        <f>SUM(E105:E130)</f>
        <v>61572</v>
      </c>
      <c r="G131" t="s">
        <v>380</v>
      </c>
      <c r="H131">
        <v>262</v>
      </c>
      <c r="J131" t="s">
        <v>387</v>
      </c>
      <c r="K131">
        <v>1582</v>
      </c>
    </row>
    <row r="132" spans="1:17" x14ac:dyDescent="0.25">
      <c r="G132" t="s">
        <v>379</v>
      </c>
      <c r="H132">
        <v>834</v>
      </c>
      <c r="J132" t="s">
        <v>388</v>
      </c>
      <c r="K132">
        <v>2468</v>
      </c>
    </row>
    <row r="133" spans="1:17" x14ac:dyDescent="0.25">
      <c r="G133" t="s">
        <v>381</v>
      </c>
      <c r="H133">
        <v>970</v>
      </c>
      <c r="J133" t="s">
        <v>389</v>
      </c>
      <c r="K133">
        <v>784</v>
      </c>
    </row>
    <row r="134" spans="1:17" x14ac:dyDescent="0.25">
      <c r="G134" t="s">
        <v>382</v>
      </c>
      <c r="H134">
        <v>3282</v>
      </c>
      <c r="K134" s="222">
        <f>SUM(K105:K133)</f>
        <v>69278</v>
      </c>
    </row>
    <row r="135" spans="1:17" x14ac:dyDescent="0.25">
      <c r="G135" t="s">
        <v>387</v>
      </c>
      <c r="H135">
        <v>426</v>
      </c>
    </row>
    <row r="136" spans="1:17" x14ac:dyDescent="0.25">
      <c r="G136" t="s">
        <v>386</v>
      </c>
      <c r="H136">
        <v>1380</v>
      </c>
    </row>
    <row r="137" spans="1:17" x14ac:dyDescent="0.25">
      <c r="G137" t="s">
        <v>388</v>
      </c>
      <c r="H137">
        <v>1784</v>
      </c>
    </row>
    <row r="138" spans="1:17" x14ac:dyDescent="0.25">
      <c r="G138" t="s">
        <v>389</v>
      </c>
      <c r="H138">
        <v>1563</v>
      </c>
    </row>
    <row r="139" spans="1:17" x14ac:dyDescent="0.25">
      <c r="H139" s="222">
        <f>SUM(H105:H138)</f>
        <v>64537</v>
      </c>
    </row>
  </sheetData>
  <mergeCells count="17">
    <mergeCell ref="A22:B22"/>
    <mergeCell ref="A24:B24"/>
    <mergeCell ref="A25:B25"/>
    <mergeCell ref="A26:B26"/>
    <mergeCell ref="A27:B27"/>
    <mergeCell ref="A104:B104"/>
    <mergeCell ref="D104:E104"/>
    <mergeCell ref="A80:B80"/>
    <mergeCell ref="A82:B82"/>
    <mergeCell ref="A52:B52"/>
    <mergeCell ref="A54:B54"/>
    <mergeCell ref="C27:C31"/>
    <mergeCell ref="D27:D31"/>
    <mergeCell ref="E27:E31"/>
    <mergeCell ref="F27:F31"/>
    <mergeCell ref="J104:K104"/>
    <mergeCell ref="G104:H104"/>
  </mergeCells>
  <phoneticPr fontId="3" type="noConversion"/>
  <printOptions horizontalCentered="1" verticalCentered="1"/>
  <pageMargins left="0.11811023622047245" right="0.11811023622047245" top="0.78740157480314965" bottom="0.78740157480314965" header="0.31496062992125984" footer="0.31496062992125984"/>
  <pageSetup paperSize="9" scale="64" orientation="landscape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E626-D496-45F1-A7E7-EBB7BD0F44FE}">
  <sheetPr>
    <pageSetUpPr fitToPage="1"/>
  </sheetPr>
  <dimension ref="A1:AG29"/>
  <sheetViews>
    <sheetView showGridLines="0" topLeftCell="A10" zoomScale="78" zoomScaleNormal="78" workbookViewId="0">
      <selection activeCell="Z25" sqref="Z25"/>
    </sheetView>
  </sheetViews>
  <sheetFormatPr defaultRowHeight="15" x14ac:dyDescent="0.25"/>
  <cols>
    <col min="1" max="1" width="11.28515625" bestFit="1" customWidth="1"/>
    <col min="2" max="2" width="11.28515625" customWidth="1"/>
    <col min="3" max="14" width="10.140625" bestFit="1" customWidth="1"/>
    <col min="15" max="15" width="10" bestFit="1" customWidth="1"/>
    <col min="16" max="16" width="7.140625" bestFit="1" customWidth="1"/>
  </cols>
  <sheetData>
    <row r="1" spans="3:14" x14ac:dyDescent="0.25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3:14" x14ac:dyDescent="0.25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3:14" x14ac:dyDescent="0.2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3:14" x14ac:dyDescent="0.25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23" spans="1:33" x14ac:dyDescent="0.25">
      <c r="A23" s="493" t="s">
        <v>95</v>
      </c>
      <c r="B23" s="493"/>
      <c r="C23" s="3" t="s">
        <v>97</v>
      </c>
      <c r="D23" s="3" t="s">
        <v>98</v>
      </c>
      <c r="E23" s="3" t="s">
        <v>99</v>
      </c>
      <c r="F23" s="3" t="s">
        <v>100</v>
      </c>
      <c r="G23" s="3" t="s">
        <v>101</v>
      </c>
      <c r="H23" s="3" t="s">
        <v>102</v>
      </c>
      <c r="I23" s="3" t="s">
        <v>103</v>
      </c>
      <c r="J23" s="3" t="s">
        <v>104</v>
      </c>
      <c r="K23" s="3" t="s">
        <v>105</v>
      </c>
      <c r="L23" s="3" t="s">
        <v>106</v>
      </c>
      <c r="M23" s="3" t="s">
        <v>107</v>
      </c>
      <c r="N23" s="3" t="s">
        <v>108</v>
      </c>
      <c r="O23" s="3" t="s">
        <v>278</v>
      </c>
      <c r="P23" s="3" t="s">
        <v>110</v>
      </c>
      <c r="R23" s="493" t="s">
        <v>95</v>
      </c>
      <c r="S23" s="493"/>
      <c r="T23" s="3" t="s">
        <v>97</v>
      </c>
      <c r="U23" s="3" t="s">
        <v>98</v>
      </c>
      <c r="V23" s="3" t="s">
        <v>99</v>
      </c>
      <c r="W23" s="3" t="s">
        <v>100</v>
      </c>
      <c r="X23" s="3" t="s">
        <v>101</v>
      </c>
      <c r="Y23" s="3" t="s">
        <v>102</v>
      </c>
      <c r="Z23" s="3" t="s">
        <v>103</v>
      </c>
      <c r="AA23" s="3" t="s">
        <v>104</v>
      </c>
      <c r="AB23" s="3" t="s">
        <v>105</v>
      </c>
      <c r="AC23" s="3" t="s">
        <v>106</v>
      </c>
      <c r="AD23" s="3" t="s">
        <v>107</v>
      </c>
      <c r="AE23" s="3" t="s">
        <v>108</v>
      </c>
      <c r="AF23" s="3" t="s">
        <v>278</v>
      </c>
      <c r="AG23" s="3" t="s">
        <v>110</v>
      </c>
    </row>
    <row r="24" spans="1:33" x14ac:dyDescent="0.25">
      <c r="A24" s="9" t="s">
        <v>178</v>
      </c>
      <c r="B24" s="91">
        <v>19000000</v>
      </c>
      <c r="C24" s="93">
        <v>19000000</v>
      </c>
      <c r="D24" s="93">
        <v>19000000</v>
      </c>
      <c r="E24" s="93">
        <v>19000000</v>
      </c>
      <c r="F24" s="93">
        <v>19000000</v>
      </c>
      <c r="G24" s="93">
        <v>19000000</v>
      </c>
      <c r="H24" s="93">
        <v>19000000</v>
      </c>
      <c r="I24" s="93">
        <v>19000000</v>
      </c>
      <c r="J24" s="93">
        <v>19000000</v>
      </c>
      <c r="K24" s="93">
        <v>19000000</v>
      </c>
      <c r="L24" s="93">
        <v>19000000</v>
      </c>
      <c r="M24" s="93">
        <v>19000000</v>
      </c>
      <c r="N24" s="93">
        <v>19000000</v>
      </c>
      <c r="O24" s="25"/>
      <c r="P24" s="18"/>
      <c r="R24" s="9"/>
      <c r="S24" s="91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25"/>
      <c r="AG24" s="18"/>
    </row>
    <row r="25" spans="1:33" x14ac:dyDescent="0.25">
      <c r="A25" s="493" t="s">
        <v>390</v>
      </c>
      <c r="B25" s="493"/>
      <c r="C25" s="92">
        <v>128094.34</v>
      </c>
      <c r="D25" s="92">
        <v>104918</v>
      </c>
      <c r="E25" s="92">
        <v>162270</v>
      </c>
      <c r="F25" s="92">
        <v>164480.12</v>
      </c>
      <c r="G25" s="92">
        <v>159330</v>
      </c>
      <c r="H25" s="92">
        <v>77074.73</v>
      </c>
      <c r="I25" s="92">
        <v>186693.33</v>
      </c>
      <c r="J25" s="92"/>
      <c r="K25" s="92"/>
      <c r="L25" s="92"/>
      <c r="M25" s="92"/>
      <c r="N25" s="92"/>
      <c r="O25" s="92">
        <f>SUM(C25:N25)</f>
        <v>982860.5199999999</v>
      </c>
      <c r="P25" s="548">
        <f>O29/B24</f>
        <v>0.24822560842105262</v>
      </c>
      <c r="R25" s="493" t="s">
        <v>390</v>
      </c>
      <c r="S25" s="493"/>
      <c r="T25" s="92">
        <v>1655</v>
      </c>
      <c r="U25" s="92">
        <v>1429</v>
      </c>
      <c r="V25" s="92">
        <v>2409</v>
      </c>
      <c r="W25" s="92">
        <v>2059</v>
      </c>
      <c r="X25" s="92">
        <v>1443</v>
      </c>
      <c r="Y25" s="92"/>
      <c r="Z25" s="92"/>
      <c r="AA25" s="92"/>
      <c r="AB25" s="92"/>
      <c r="AC25" s="92"/>
      <c r="AD25" s="92"/>
      <c r="AE25" s="92"/>
      <c r="AF25" s="92">
        <f>SUM(T25:AE25)</f>
        <v>8995</v>
      </c>
      <c r="AG25" s="548"/>
    </row>
    <row r="26" spans="1:33" x14ac:dyDescent="0.25">
      <c r="A26" s="493" t="s">
        <v>391</v>
      </c>
      <c r="B26" s="493"/>
      <c r="C26" s="92">
        <v>569004.44999999995</v>
      </c>
      <c r="D26" s="92">
        <v>487896</v>
      </c>
      <c r="E26" s="92">
        <v>700663.26</v>
      </c>
      <c r="F26" s="92">
        <v>445047.83</v>
      </c>
      <c r="G26" s="92">
        <v>562638.48</v>
      </c>
      <c r="H26" s="92">
        <v>447866.92</v>
      </c>
      <c r="I26" s="92">
        <v>473337.1</v>
      </c>
      <c r="J26" s="92"/>
      <c r="K26" s="92"/>
      <c r="L26" s="92"/>
      <c r="M26" s="92"/>
      <c r="N26" s="92"/>
      <c r="O26" s="92">
        <f t="shared" ref="O26:O28" si="0">SUM(C26:N26)</f>
        <v>3686454.04</v>
      </c>
      <c r="P26" s="549"/>
      <c r="R26" s="493" t="s">
        <v>391</v>
      </c>
      <c r="S26" s="493"/>
      <c r="T26" s="92">
        <v>6864</v>
      </c>
      <c r="U26" s="92">
        <v>5756</v>
      </c>
      <c r="V26" s="92">
        <v>8576</v>
      </c>
      <c r="W26" s="92">
        <v>8331</v>
      </c>
      <c r="X26" s="92">
        <v>3466</v>
      </c>
      <c r="Y26" s="380">
        <v>3632</v>
      </c>
      <c r="Z26" s="92">
        <v>1446</v>
      </c>
      <c r="AA26" s="92"/>
      <c r="AB26" s="92"/>
      <c r="AC26" s="92"/>
      <c r="AD26" s="92"/>
      <c r="AE26" s="92"/>
      <c r="AF26" s="92">
        <f t="shared" ref="AF26:AF28" si="1">SUM(T26:AE26)</f>
        <v>38071</v>
      </c>
      <c r="AG26" s="549"/>
    </row>
    <row r="27" spans="1:33" x14ac:dyDescent="0.25">
      <c r="A27" s="493" t="s">
        <v>392</v>
      </c>
      <c r="B27" s="493"/>
      <c r="C27" s="92">
        <v>0</v>
      </c>
      <c r="D27" s="92">
        <v>0</v>
      </c>
      <c r="E27" s="92">
        <v>0</v>
      </c>
      <c r="F27" s="92">
        <v>0</v>
      </c>
      <c r="G27" s="92">
        <v>0</v>
      </c>
      <c r="H27" s="92"/>
      <c r="I27" s="92"/>
      <c r="J27" s="92"/>
      <c r="K27" s="92"/>
      <c r="L27" s="92"/>
      <c r="M27" s="92"/>
      <c r="N27" s="92"/>
      <c r="O27" s="92">
        <f t="shared" si="0"/>
        <v>0</v>
      </c>
      <c r="P27" s="549"/>
      <c r="R27" s="493" t="s">
        <v>393</v>
      </c>
      <c r="S27" s="493"/>
      <c r="T27" s="92">
        <v>42693</v>
      </c>
      <c r="U27" s="92">
        <v>53430</v>
      </c>
      <c r="V27" s="92">
        <v>58181</v>
      </c>
      <c r="W27" s="92">
        <v>51953</v>
      </c>
      <c r="X27" s="92">
        <v>57060</v>
      </c>
      <c r="Y27" s="92">
        <v>33744</v>
      </c>
      <c r="Z27" s="92">
        <v>2953</v>
      </c>
      <c r="AA27" s="92"/>
      <c r="AB27" s="92"/>
      <c r="AC27" s="92"/>
      <c r="AD27" s="92"/>
      <c r="AE27" s="92"/>
      <c r="AF27" s="92">
        <f t="shared" si="1"/>
        <v>300014</v>
      </c>
      <c r="AG27" s="549"/>
    </row>
    <row r="28" spans="1:33" x14ac:dyDescent="0.25">
      <c r="A28" s="493" t="s">
        <v>394</v>
      </c>
      <c r="B28" s="493"/>
      <c r="C28" s="92">
        <v>0</v>
      </c>
      <c r="D28" s="92">
        <v>46972</v>
      </c>
      <c r="E28" s="92">
        <v>0</v>
      </c>
      <c r="F28" s="92">
        <v>0</v>
      </c>
      <c r="G28" s="92">
        <v>0</v>
      </c>
      <c r="H28" s="92"/>
      <c r="I28" s="92"/>
      <c r="J28" s="92"/>
      <c r="K28" s="92"/>
      <c r="L28" s="92"/>
      <c r="M28" s="92"/>
      <c r="N28" s="92"/>
      <c r="O28" s="92">
        <f t="shared" si="0"/>
        <v>46972</v>
      </c>
      <c r="P28" s="549"/>
      <c r="R28" s="493" t="s">
        <v>394</v>
      </c>
      <c r="S28" s="493"/>
      <c r="T28" s="92">
        <v>0</v>
      </c>
      <c r="U28" s="92">
        <v>1353</v>
      </c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>
        <f t="shared" si="1"/>
        <v>1353</v>
      </c>
      <c r="AG28" s="549"/>
    </row>
    <row r="29" spans="1:33" x14ac:dyDescent="0.25">
      <c r="A29" s="493" t="s">
        <v>395</v>
      </c>
      <c r="B29" s="493"/>
      <c r="C29" s="4">
        <f>SUM(C25:C28)</f>
        <v>697098.78999999992</v>
      </c>
      <c r="D29" s="4">
        <f>SUM(D25:D28)</f>
        <v>639786</v>
      </c>
      <c r="E29" s="4">
        <f>SUM(E25:E28)</f>
        <v>862933.26</v>
      </c>
      <c r="F29" s="4">
        <f t="shared" ref="F29:O29" si="2">SUM(F25:F28)</f>
        <v>609527.94999999995</v>
      </c>
      <c r="G29" s="4">
        <f t="shared" si="2"/>
        <v>721968.48</v>
      </c>
      <c r="H29" s="4">
        <f t="shared" si="2"/>
        <v>524941.65</v>
      </c>
      <c r="I29" s="4">
        <f t="shared" si="2"/>
        <v>660030.42999999993</v>
      </c>
      <c r="J29" s="4">
        <f t="shared" si="2"/>
        <v>0</v>
      </c>
      <c r="K29" s="4">
        <f t="shared" si="2"/>
        <v>0</v>
      </c>
      <c r="L29" s="4">
        <f t="shared" si="2"/>
        <v>0</v>
      </c>
      <c r="M29" s="4">
        <f t="shared" si="2"/>
        <v>0</v>
      </c>
      <c r="N29" s="4">
        <f t="shared" si="2"/>
        <v>0</v>
      </c>
      <c r="O29" s="4">
        <f t="shared" si="2"/>
        <v>4716286.5599999996</v>
      </c>
      <c r="P29" s="550"/>
      <c r="R29" s="493" t="s">
        <v>279</v>
      </c>
      <c r="S29" s="493"/>
      <c r="T29" s="4">
        <f>SUM(T25:T28)</f>
        <v>51212</v>
      </c>
      <c r="U29" s="4">
        <f>SUM(U25:U28)</f>
        <v>61968</v>
      </c>
      <c r="V29" s="4">
        <f>SUM(V25:V28)</f>
        <v>69166</v>
      </c>
      <c r="W29" s="4">
        <f t="shared" ref="W29:AF29" si="3">SUM(W25:W28)</f>
        <v>62343</v>
      </c>
      <c r="X29" s="4">
        <f t="shared" si="3"/>
        <v>61969</v>
      </c>
      <c r="Y29" s="4">
        <f>SUM(Y25:Y28)</f>
        <v>37376</v>
      </c>
      <c r="Z29" s="4">
        <f t="shared" si="3"/>
        <v>4399</v>
      </c>
      <c r="AA29" s="4">
        <f t="shared" si="3"/>
        <v>0</v>
      </c>
      <c r="AB29" s="4">
        <f t="shared" si="3"/>
        <v>0</v>
      </c>
      <c r="AC29" s="4">
        <f t="shared" si="3"/>
        <v>0</v>
      </c>
      <c r="AD29" s="4">
        <f t="shared" si="3"/>
        <v>0</v>
      </c>
      <c r="AE29" s="4">
        <f t="shared" si="3"/>
        <v>0</v>
      </c>
      <c r="AF29" s="4">
        <f t="shared" si="3"/>
        <v>348433</v>
      </c>
      <c r="AG29" s="550"/>
    </row>
  </sheetData>
  <mergeCells count="14">
    <mergeCell ref="P25:P29"/>
    <mergeCell ref="A23:B23"/>
    <mergeCell ref="A25:B25"/>
    <mergeCell ref="A26:B26"/>
    <mergeCell ref="A27:B27"/>
    <mergeCell ref="A28:B28"/>
    <mergeCell ref="A29:B29"/>
    <mergeCell ref="R23:S23"/>
    <mergeCell ref="R25:S25"/>
    <mergeCell ref="AG25:AG29"/>
    <mergeCell ref="R26:S26"/>
    <mergeCell ref="R27:S27"/>
    <mergeCell ref="R28:S28"/>
    <mergeCell ref="R29:S29"/>
  </mergeCells>
  <printOptions horizontalCentered="1" verticalCentered="1"/>
  <pageMargins left="0.11811023622047245" right="0.11811023622047245" top="0.78740157480314965" bottom="0.78740157480314965" header="0.31496062992125984" footer="0.31496062992125984"/>
  <pageSetup paperSize="9" scale="46" orientation="landscape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85104-13EF-415B-B138-704C7757E611}">
  <sheetPr>
    <pageSetUpPr fitToPage="1"/>
  </sheetPr>
  <dimension ref="A22:AH75"/>
  <sheetViews>
    <sheetView showGridLines="0" topLeftCell="P43" workbookViewId="0">
      <selection activeCell="AB54" sqref="AB54"/>
    </sheetView>
  </sheetViews>
  <sheetFormatPr defaultRowHeight="15" x14ac:dyDescent="0.25"/>
  <cols>
    <col min="1" max="1" width="11.28515625" bestFit="1" customWidth="1"/>
    <col min="2" max="2" width="11.28515625" customWidth="1"/>
    <col min="3" max="14" width="10.140625" bestFit="1" customWidth="1"/>
    <col min="16" max="16" width="7.140625" bestFit="1" customWidth="1"/>
  </cols>
  <sheetData>
    <row r="22" spans="1:16" x14ac:dyDescent="0.25">
      <c r="A22" s="493" t="s">
        <v>95</v>
      </c>
      <c r="B22" s="493"/>
      <c r="C22" s="3" t="s">
        <v>97</v>
      </c>
      <c r="D22" s="3" t="s">
        <v>98</v>
      </c>
      <c r="E22" s="3" t="s">
        <v>99</v>
      </c>
      <c r="F22" s="3" t="s">
        <v>100</v>
      </c>
      <c r="G22" s="3" t="s">
        <v>101</v>
      </c>
      <c r="H22" s="3" t="s">
        <v>102</v>
      </c>
      <c r="I22" s="3" t="s">
        <v>103</v>
      </c>
      <c r="J22" s="3" t="s">
        <v>104</v>
      </c>
      <c r="K22" s="3" t="s">
        <v>105</v>
      </c>
      <c r="L22" s="3" t="s">
        <v>106</v>
      </c>
      <c r="M22" s="3" t="s">
        <v>107</v>
      </c>
      <c r="N22" s="3" t="s">
        <v>108</v>
      </c>
      <c r="O22" s="3" t="s">
        <v>200</v>
      </c>
      <c r="P22" s="3" t="s">
        <v>110</v>
      </c>
    </row>
    <row r="23" spans="1:16" x14ac:dyDescent="0.25">
      <c r="A23" s="100" t="s">
        <v>178</v>
      </c>
      <c r="B23" s="101">
        <f>[2]Resultados!$C$124</f>
        <v>406115</v>
      </c>
      <c r="C23" s="24">
        <v>406115</v>
      </c>
      <c r="D23" s="24">
        <v>406115</v>
      </c>
      <c r="E23" s="24">
        <v>406115</v>
      </c>
      <c r="F23" s="24">
        <v>406115</v>
      </c>
      <c r="G23" s="24">
        <v>406115</v>
      </c>
      <c r="H23" s="24">
        <v>406115</v>
      </c>
      <c r="I23" s="24">
        <v>406115</v>
      </c>
      <c r="J23" s="24">
        <v>406115</v>
      </c>
      <c r="K23" s="24">
        <v>406115</v>
      </c>
      <c r="L23" s="24">
        <v>406115</v>
      </c>
      <c r="M23" s="24">
        <v>406115</v>
      </c>
      <c r="N23" s="24">
        <v>406115</v>
      </c>
      <c r="O23" s="25"/>
      <c r="P23" s="18"/>
    </row>
    <row r="24" spans="1:16" x14ac:dyDescent="0.25">
      <c r="A24" s="493" t="s">
        <v>301</v>
      </c>
      <c r="B24" s="493"/>
      <c r="C24" s="134">
        <v>74932</v>
      </c>
      <c r="D24" s="133">
        <v>0</v>
      </c>
      <c r="E24" s="133">
        <v>0</v>
      </c>
      <c r="F24" s="133"/>
      <c r="G24" s="133"/>
      <c r="H24" s="133"/>
      <c r="I24" s="133"/>
      <c r="J24" s="133"/>
      <c r="K24" s="133"/>
      <c r="L24" s="133"/>
      <c r="M24" s="133"/>
      <c r="N24" s="133"/>
      <c r="O24" s="131"/>
      <c r="P24" s="18"/>
    </row>
    <row r="25" spans="1:16" x14ac:dyDescent="0.25">
      <c r="A25" s="493" t="s">
        <v>302</v>
      </c>
      <c r="B25" s="493"/>
      <c r="C25" s="4"/>
      <c r="D25" s="4">
        <v>0</v>
      </c>
      <c r="E25" s="4">
        <v>0</v>
      </c>
      <c r="F25" s="4"/>
      <c r="G25" s="4"/>
      <c r="H25" s="4"/>
      <c r="I25" s="4"/>
      <c r="J25" s="4"/>
      <c r="K25" s="4"/>
      <c r="L25" s="4"/>
      <c r="M25" s="4"/>
      <c r="N25" s="4"/>
      <c r="O25" s="4">
        <f>SUM(C25:N25)</f>
        <v>0</v>
      </c>
      <c r="P25" s="5">
        <f>(O25/B23)*100</f>
        <v>0</v>
      </c>
    </row>
    <row r="26" spans="1:16" x14ac:dyDescent="0.25">
      <c r="A26" s="493" t="s">
        <v>203</v>
      </c>
      <c r="B26" s="493"/>
      <c r="C26" s="4">
        <f>C25</f>
        <v>0</v>
      </c>
      <c r="D26" s="4">
        <v>0</v>
      </c>
      <c r="E26" s="4">
        <v>0</v>
      </c>
      <c r="F26" s="4"/>
      <c r="G26" s="4"/>
      <c r="H26" s="4"/>
      <c r="I26" s="4"/>
      <c r="J26" s="4"/>
      <c r="K26" s="4"/>
      <c r="L26" s="4"/>
      <c r="M26" s="4"/>
      <c r="N26" s="4"/>
      <c r="O26" s="4">
        <f>SUM(C26:N26)</f>
        <v>0</v>
      </c>
      <c r="P26" s="5"/>
    </row>
    <row r="27" spans="1:16" x14ac:dyDescent="0.25">
      <c r="A27" s="511" t="s">
        <v>204</v>
      </c>
      <c r="B27" s="511"/>
      <c r="C27" s="22">
        <f>(C26/C23)*100</f>
        <v>0</v>
      </c>
      <c r="D27" s="22">
        <v>0</v>
      </c>
      <c r="E27" s="22">
        <v>0</v>
      </c>
      <c r="F27" s="22"/>
      <c r="G27" s="16"/>
      <c r="H27" s="16"/>
      <c r="I27" s="16"/>
      <c r="J27" s="16"/>
      <c r="K27" s="16"/>
      <c r="L27" s="16"/>
      <c r="M27" s="16"/>
      <c r="N27" s="16"/>
      <c r="O27" s="16"/>
      <c r="P27" s="17"/>
    </row>
    <row r="28" spans="1:16" x14ac:dyDescent="0.25">
      <c r="A28" s="494" t="s">
        <v>127</v>
      </c>
      <c r="B28" s="494"/>
      <c r="C28" s="1" t="s">
        <v>396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6" x14ac:dyDescent="0.2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6" x14ac:dyDescent="0.2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6" x14ac:dyDescent="0.2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6" x14ac:dyDescent="0.2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3:14" x14ac:dyDescent="0.2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52" spans="1:34" x14ac:dyDescent="0.25">
      <c r="A52" s="493" t="s">
        <v>95</v>
      </c>
      <c r="B52" s="493"/>
      <c r="C52" s="3" t="s">
        <v>97</v>
      </c>
      <c r="D52" s="3" t="s">
        <v>98</v>
      </c>
      <c r="E52" s="3" t="s">
        <v>99</v>
      </c>
      <c r="F52" s="3" t="s">
        <v>100</v>
      </c>
      <c r="G52" s="3" t="s">
        <v>101</v>
      </c>
      <c r="H52" s="3" t="s">
        <v>102</v>
      </c>
      <c r="I52" s="3" t="s">
        <v>103</v>
      </c>
      <c r="J52" s="3" t="s">
        <v>104</v>
      </c>
      <c r="K52" s="3" t="s">
        <v>105</v>
      </c>
      <c r="L52" s="3" t="s">
        <v>106</v>
      </c>
      <c r="M52" s="3" t="s">
        <v>107</v>
      </c>
      <c r="N52" s="3" t="s">
        <v>108</v>
      </c>
      <c r="O52" s="3" t="s">
        <v>278</v>
      </c>
      <c r="P52" s="3" t="s">
        <v>110</v>
      </c>
      <c r="S52" s="493" t="s">
        <v>95</v>
      </c>
      <c r="T52" s="493"/>
      <c r="U52" s="3" t="s">
        <v>97</v>
      </c>
      <c r="V52" s="3" t="s">
        <v>98</v>
      </c>
      <c r="W52" s="3" t="s">
        <v>99</v>
      </c>
      <c r="X52" s="3" t="s">
        <v>100</v>
      </c>
      <c r="Y52" s="3" t="s">
        <v>101</v>
      </c>
      <c r="Z52" s="3" t="s">
        <v>102</v>
      </c>
      <c r="AA52" s="3" t="s">
        <v>103</v>
      </c>
      <c r="AB52" s="3" t="s">
        <v>104</v>
      </c>
      <c r="AC52" s="3" t="s">
        <v>105</v>
      </c>
      <c r="AD52" s="3" t="s">
        <v>106</v>
      </c>
      <c r="AE52" s="3" t="s">
        <v>107</v>
      </c>
      <c r="AF52" s="3" t="s">
        <v>108</v>
      </c>
      <c r="AG52" s="3" t="s">
        <v>278</v>
      </c>
      <c r="AH52" s="3" t="s">
        <v>110</v>
      </c>
    </row>
    <row r="53" spans="1:34" x14ac:dyDescent="0.25">
      <c r="A53" s="9" t="s">
        <v>178</v>
      </c>
      <c r="B53" s="88">
        <v>48</v>
      </c>
      <c r="C53" s="89">
        <v>48</v>
      </c>
      <c r="D53" s="89">
        <v>48</v>
      </c>
      <c r="E53" s="89">
        <v>48</v>
      </c>
      <c r="F53" s="89">
        <v>48</v>
      </c>
      <c r="G53" s="89">
        <v>48</v>
      </c>
      <c r="H53" s="89">
        <v>48</v>
      </c>
      <c r="I53" s="89">
        <v>48</v>
      </c>
      <c r="J53" s="89">
        <v>48</v>
      </c>
      <c r="K53" s="89">
        <v>48</v>
      </c>
      <c r="L53" s="89">
        <v>48</v>
      </c>
      <c r="M53" s="89">
        <v>48</v>
      </c>
      <c r="N53" s="89">
        <v>48</v>
      </c>
      <c r="O53" s="25"/>
      <c r="P53" s="18"/>
      <c r="S53" s="9" t="s">
        <v>178</v>
      </c>
      <c r="T53" s="88">
        <v>48</v>
      </c>
      <c r="U53" s="89">
        <v>48</v>
      </c>
      <c r="V53" s="89">
        <v>48</v>
      </c>
      <c r="W53" s="89">
        <v>48</v>
      </c>
      <c r="X53" s="89">
        <v>48</v>
      </c>
      <c r="Y53" s="89">
        <v>48</v>
      </c>
      <c r="Z53" s="89">
        <v>48</v>
      </c>
      <c r="AA53" s="89">
        <v>48</v>
      </c>
      <c r="AB53" s="89">
        <v>48</v>
      </c>
      <c r="AC53" s="89">
        <v>48</v>
      </c>
      <c r="AD53" s="89">
        <v>48</v>
      </c>
      <c r="AE53" s="89">
        <v>48</v>
      </c>
      <c r="AF53" s="89">
        <v>48</v>
      </c>
      <c r="AG53" s="25"/>
      <c r="AH53" s="18"/>
    </row>
    <row r="54" spans="1:34" x14ac:dyDescent="0.25">
      <c r="A54" s="493" t="s">
        <v>397</v>
      </c>
      <c r="B54" s="493"/>
      <c r="C54" s="4">
        <v>6</v>
      </c>
      <c r="D54" s="4">
        <v>0</v>
      </c>
      <c r="E54" s="4">
        <v>0</v>
      </c>
      <c r="F54" s="4">
        <v>0</v>
      </c>
      <c r="G54" s="4">
        <v>0</v>
      </c>
      <c r="H54" s="4">
        <v>4</v>
      </c>
      <c r="I54" s="4">
        <v>11</v>
      </c>
      <c r="J54" s="4"/>
      <c r="K54" s="4"/>
      <c r="L54" s="4"/>
      <c r="M54" s="4"/>
      <c r="N54" s="4"/>
      <c r="O54" s="149">
        <f>SUM(C54:N54)</f>
        <v>21</v>
      </c>
      <c r="P54" s="5">
        <f>(O54/B53)*100</f>
        <v>43.75</v>
      </c>
      <c r="S54" s="493" t="s">
        <v>397</v>
      </c>
      <c r="T54" s="493"/>
      <c r="U54" s="4">
        <v>6</v>
      </c>
      <c r="V54" s="4">
        <v>0</v>
      </c>
      <c r="W54" s="4">
        <v>0</v>
      </c>
      <c r="X54" s="4">
        <v>0</v>
      </c>
      <c r="Y54" s="4">
        <v>0</v>
      </c>
      <c r="Z54" s="4">
        <v>4</v>
      </c>
      <c r="AA54" s="4">
        <v>11</v>
      </c>
      <c r="AB54" s="4"/>
      <c r="AC54" s="4"/>
      <c r="AD54" s="4"/>
      <c r="AE54" s="4"/>
      <c r="AF54" s="4"/>
      <c r="AG54" s="149">
        <f>SUM(U54:AF54)</f>
        <v>21</v>
      </c>
      <c r="AH54" s="5">
        <f>(AG54/T53)*100</f>
        <v>43.75</v>
      </c>
    </row>
    <row r="55" spans="1:34" x14ac:dyDescent="0.25">
      <c r="A55" s="493" t="s">
        <v>398</v>
      </c>
      <c r="B55" s="493"/>
      <c r="C55" s="41">
        <v>74932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41">
        <v>0</v>
      </c>
      <c r="J55" s="41"/>
      <c r="K55" s="41"/>
      <c r="L55" s="41"/>
      <c r="M55" s="41"/>
      <c r="N55" s="41"/>
      <c r="O55" s="41">
        <f>SUM(C55:N55)</f>
        <v>74932</v>
      </c>
      <c r="P55" s="5"/>
    </row>
    <row r="56" spans="1:34" x14ac:dyDescent="0.25">
      <c r="A56" s="493" t="s">
        <v>203</v>
      </c>
      <c r="B56" s="493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</row>
    <row r="57" spans="1:34" x14ac:dyDescent="0.25">
      <c r="A57" t="s">
        <v>399</v>
      </c>
      <c r="B57" t="s">
        <v>400</v>
      </c>
    </row>
    <row r="58" spans="1:34" x14ac:dyDescent="0.25">
      <c r="A58" t="s">
        <v>401</v>
      </c>
    </row>
    <row r="59" spans="1:34" x14ac:dyDescent="0.25">
      <c r="A59" t="s">
        <v>402</v>
      </c>
    </row>
    <row r="60" spans="1:34" x14ac:dyDescent="0.25">
      <c r="A60" t="s">
        <v>403</v>
      </c>
    </row>
    <row r="61" spans="1:34" x14ac:dyDescent="0.25">
      <c r="A61" t="s">
        <v>404</v>
      </c>
    </row>
    <row r="62" spans="1:34" x14ac:dyDescent="0.25">
      <c r="A62" t="s">
        <v>405</v>
      </c>
    </row>
    <row r="63" spans="1:34" x14ac:dyDescent="0.25">
      <c r="A63" t="s">
        <v>405</v>
      </c>
    </row>
    <row r="64" spans="1:34" x14ac:dyDescent="0.25">
      <c r="A64" t="s">
        <v>406</v>
      </c>
    </row>
    <row r="65" spans="1:1" x14ac:dyDescent="0.25">
      <c r="A65" t="s">
        <v>407</v>
      </c>
    </row>
    <row r="66" spans="1:1" x14ac:dyDescent="0.25">
      <c r="A66" t="s">
        <v>408</v>
      </c>
    </row>
    <row r="67" spans="1:1" x14ac:dyDescent="0.25">
      <c r="A67" t="s">
        <v>409</v>
      </c>
    </row>
    <row r="68" spans="1:1" x14ac:dyDescent="0.25">
      <c r="A68" t="s">
        <v>410</v>
      </c>
    </row>
    <row r="69" spans="1:1" x14ac:dyDescent="0.25">
      <c r="A69" t="s">
        <v>411</v>
      </c>
    </row>
    <row r="70" spans="1:1" x14ac:dyDescent="0.25">
      <c r="A70" t="s">
        <v>412</v>
      </c>
    </row>
    <row r="71" spans="1:1" x14ac:dyDescent="0.25">
      <c r="A71" t="s">
        <v>413</v>
      </c>
    </row>
    <row r="72" spans="1:1" x14ac:dyDescent="0.25">
      <c r="A72" t="s">
        <v>414</v>
      </c>
    </row>
    <row r="73" spans="1:1" x14ac:dyDescent="0.25">
      <c r="A73" t="s">
        <v>415</v>
      </c>
    </row>
    <row r="74" spans="1:1" x14ac:dyDescent="0.25">
      <c r="A74" t="s">
        <v>396</v>
      </c>
    </row>
    <row r="75" spans="1:1" x14ac:dyDescent="0.25">
      <c r="A75" t="s">
        <v>416</v>
      </c>
    </row>
  </sheetData>
  <mergeCells count="12">
    <mergeCell ref="A56:B56"/>
    <mergeCell ref="A22:B22"/>
    <mergeCell ref="A25:B25"/>
    <mergeCell ref="A26:B26"/>
    <mergeCell ref="A27:B27"/>
    <mergeCell ref="A28:B28"/>
    <mergeCell ref="A24:B24"/>
    <mergeCell ref="S52:T52"/>
    <mergeCell ref="S54:T54"/>
    <mergeCell ref="A52:B52"/>
    <mergeCell ref="A54:B54"/>
    <mergeCell ref="A55:B55"/>
  </mergeCells>
  <printOptions horizontalCentered="1" verticalCentered="1"/>
  <pageMargins left="0.11811023622047245" right="0.11811023622047245" top="0.78740157480314965" bottom="0.78740157480314965" header="0.31496062992125984" footer="0.31496062992125984"/>
  <pageSetup paperSize="9" scale="42" orientation="landscape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2A69BFA58447438DD260F4F7B2BA75" ma:contentTypeVersion="16" ma:contentTypeDescription="Crie um novo documento." ma:contentTypeScope="" ma:versionID="6d76000d9ffcdbe5df28764635316e7d">
  <xsd:schema xmlns:xsd="http://www.w3.org/2001/XMLSchema" xmlns:xs="http://www.w3.org/2001/XMLSchema" xmlns:p="http://schemas.microsoft.com/office/2006/metadata/properties" xmlns:ns2="6b13bf9c-31c0-4b0c-9fd2-acf1658234a3" xmlns:ns3="f1a18725-031e-44cf-bb15-fd754ad1b74d" targetNamespace="http://schemas.microsoft.com/office/2006/metadata/properties" ma:root="true" ma:fieldsID="acb8eaf3799f85850ee95976aa3aaf48" ns2:_="" ns3:_="">
    <xsd:import namespace="6b13bf9c-31c0-4b0c-9fd2-acf1658234a3"/>
    <xsd:import namespace="f1a18725-031e-44cf-bb15-fd754ad1b7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3bf9c-31c0-4b0c-9fd2-acf16582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408563a1-5fd5-4166-aa13-cf9e1d34a9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a18725-031e-44cf-bb15-fd754ad1b74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bbc542c-1c8f-4d35-93ef-c3ba863523ed}" ma:internalName="TaxCatchAll" ma:showField="CatchAllData" ma:web="f1a18725-031e-44cf-bb15-fd754ad1b7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13bf9c-31c0-4b0c-9fd2-acf1658234a3">
      <Terms xmlns="http://schemas.microsoft.com/office/infopath/2007/PartnerControls"/>
    </lcf76f155ced4ddcb4097134ff3c332f>
    <TaxCatchAll xmlns="f1a18725-031e-44cf-bb15-fd754ad1b74d" xsi:nil="true"/>
  </documentManagement>
</p:properties>
</file>

<file path=customXml/itemProps1.xml><?xml version="1.0" encoding="utf-8"?>
<ds:datastoreItem xmlns:ds="http://schemas.openxmlformats.org/officeDocument/2006/customXml" ds:itemID="{4CCF9D7E-6C31-4400-AAAB-D391D2E9E5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8A388D-817F-4A0C-B9F8-C9D1A2654B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13bf9c-31c0-4b0c-9fd2-acf1658234a3"/>
    <ds:schemaRef ds:uri="f1a18725-031e-44cf-bb15-fd754ad1b7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B7C57F-938F-4ECC-BF7E-A8DB61082B16}">
  <ds:schemaRefs>
    <ds:schemaRef ds:uri="http://schemas.microsoft.com/office/2006/metadata/properties"/>
    <ds:schemaRef ds:uri="http://schemas.microsoft.com/office/infopath/2007/PartnerControls"/>
    <ds:schemaRef ds:uri="6b13bf9c-31c0-4b0c-9fd2-acf1658234a3"/>
    <ds:schemaRef ds:uri="f1a18725-031e-44cf-bb15-fd754ad1b74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KPI</vt:lpstr>
      <vt:lpstr>ESG - Energia Eletrica</vt:lpstr>
      <vt:lpstr>ESG - Agua</vt:lpstr>
      <vt:lpstr>ESG - Resíduos</vt:lpstr>
      <vt:lpstr>ESG - S RH1</vt:lpstr>
      <vt:lpstr>GESTÃO</vt:lpstr>
      <vt:lpstr>Plano de Ação</vt:lpstr>
      <vt:lpstr>COMPRAS</vt:lpstr>
      <vt:lpstr>ALMOXARIFADO</vt:lpstr>
      <vt:lpstr>QUALIDADE</vt:lpstr>
      <vt:lpstr>MANUTENÇÃO</vt:lpstr>
      <vt:lpstr>PROCESSOS</vt:lpstr>
      <vt:lpstr>COMERCIAL</vt:lpstr>
      <vt:lpstr>ENGENHARIA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Milton José Bosqueiro</dc:creator>
  <cp:keywords/>
  <dc:description/>
  <cp:lastModifiedBy>Milton José Bosqueiro</cp:lastModifiedBy>
  <cp:revision/>
  <dcterms:created xsi:type="dcterms:W3CDTF">2025-10-01T13:14:16Z</dcterms:created>
  <dcterms:modified xsi:type="dcterms:W3CDTF">2026-09-03T15:23:14Z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0x010100522A69BFA58447438DD260F4F7B2BA75</vt:lpwstr>
  </property>
  <property fmtid="{D5CDD505-2E9C-101B-9397-08002B2CF9AE}" pid="3" name="MediaServiceImageTags">
    <vt:lpwstr/>
  </property>
</Properties>
</file>